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ber\OneDrive\Documentos\UPV\2MU\LSE\"/>
    </mc:Choice>
  </mc:AlternateContent>
  <xr:revisionPtr revIDLastSave="0" documentId="13_ncr:1_{93EA3C0A-B4C1-4A5B-8C1B-CA8296FFCC03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odule1" sheetId="1" state="veryHidden" r:id=""/>
    <sheet name="ev_HiddenInfo" sheetId="2" state="veryHidden" r:id="rId1"/>
    <sheet name="TSP" sheetId="3" r:id="rId2"/>
  </sheets>
  <functionGroups builtInGroupCount="19"/>
  <definedNames>
    <definedName name="ciudades">TSP!$C$42:$C$61</definedName>
    <definedName name="coordenadas">TSP!$Y$42:$Z$61</definedName>
    <definedName name="distancias">TSP!$D$42:$W$61</definedName>
    <definedName name="Orden">TSP!$B$4:$B$23</definedName>
    <definedName name="solver_adj" localSheetId="2" hidden="1">TSP!$B$4:$B$23</definedName>
    <definedName name="solver_cvg" localSheetId="2" hidden="1">0.0001</definedName>
    <definedName name="solver_drv" localSheetId="2" hidden="1">2</definedName>
    <definedName name="solver_eng" localSheetId="2" hidden="1">3</definedName>
    <definedName name="solver_est" localSheetId="2" hidden="1">1</definedName>
    <definedName name="solver_itr" localSheetId="2" hidden="1">2147483647</definedName>
    <definedName name="solver_lhs1" localSheetId="2" hidden="1">TSP!$B$4:$B$23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TSP!$C$40</definedName>
    <definedName name="solver_pre" localSheetId="2" hidden="1">0.000001</definedName>
    <definedName name="solver_rbv" localSheetId="2" hidden="1">2</definedName>
    <definedName name="solver_rel1" localSheetId="2" hidden="1">6</definedName>
    <definedName name="solver_rhs1" localSheetId="2" hidden="1">"Todos diferentes"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10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3" l="1"/>
  <c r="C4" i="3"/>
  <c r="AC4" i="3"/>
  <c r="AC24" i="3" s="1"/>
  <c r="AD4" i="3"/>
  <c r="AD24" i="3" s="1"/>
  <c r="C5" i="3"/>
  <c r="AC5" i="3"/>
  <c r="AD5" i="3"/>
  <c r="C6" i="3"/>
  <c r="AC6" i="3"/>
  <c r="AD6" i="3"/>
  <c r="C7" i="3"/>
  <c r="AC7" i="3"/>
  <c r="AD7" i="3"/>
  <c r="C8" i="3"/>
  <c r="AC8" i="3"/>
  <c r="AD8" i="3"/>
  <c r="C9" i="3"/>
  <c r="AC9" i="3"/>
  <c r="AD9" i="3"/>
  <c r="C10" i="3"/>
  <c r="AC10" i="3"/>
  <c r="AD10" i="3"/>
  <c r="C11" i="3"/>
  <c r="AC11" i="3"/>
  <c r="AD11" i="3"/>
  <c r="C12" i="3"/>
  <c r="AC12" i="3"/>
  <c r="AD12" i="3"/>
  <c r="AD13" i="3"/>
  <c r="C14" i="3"/>
  <c r="AC14" i="3"/>
  <c r="AD14" i="3"/>
  <c r="C15" i="3"/>
  <c r="AC15" i="3"/>
  <c r="AD15" i="3"/>
  <c r="C16" i="3"/>
  <c r="AC16" i="3"/>
  <c r="AD16" i="3"/>
  <c r="C17" i="3"/>
  <c r="AC17" i="3"/>
  <c r="AD17" i="3"/>
  <c r="C18" i="3"/>
  <c r="AC18" i="3"/>
  <c r="AD18" i="3"/>
  <c r="C19" i="3"/>
  <c r="AC19" i="3"/>
  <c r="AD19" i="3"/>
  <c r="C20" i="3"/>
  <c r="AC20" i="3"/>
  <c r="AD20" i="3"/>
  <c r="C21" i="3"/>
  <c r="AC21" i="3"/>
  <c r="AD21" i="3"/>
  <c r="C22" i="3"/>
  <c r="AC22" i="3"/>
  <c r="AD22" i="3"/>
  <c r="C23" i="3"/>
  <c r="AC23" i="3"/>
  <c r="AD23" i="3"/>
  <c r="C40" i="3"/>
  <c r="AC13" i="3" l="1"/>
  <c r="H16" i="2"/>
  <c r="B1" i="2" l="1"/>
</calcChain>
</file>

<file path=xl/sharedStrings.xml><?xml version="1.0" encoding="utf-8"?>
<sst xmlns="http://schemas.openxmlformats.org/spreadsheetml/2006/main" count="94" uniqueCount="73">
  <si>
    <t>Optimize</t>
  </si>
  <si>
    <t>MACROS</t>
  </si>
  <si>
    <t>FindThe</t>
  </si>
  <si>
    <t>Start</t>
  </si>
  <si>
    <t>Stop Trials</t>
  </si>
  <si>
    <t>BeforeCalc</t>
  </si>
  <si>
    <t>Stop Minutes</t>
  </si>
  <si>
    <t>AfterCalc</t>
  </si>
  <si>
    <t>Stop Change</t>
  </si>
  <si>
    <t>EndTrial</t>
  </si>
  <si>
    <t>Stop Formula</t>
  </si>
  <si>
    <t>Finish</t>
  </si>
  <si>
    <t>Pop. Size</t>
  </si>
  <si>
    <t>Constraint</t>
  </si>
  <si>
    <t>UNUSED</t>
  </si>
  <si>
    <t>Seed</t>
  </si>
  <si>
    <t>Up. Display</t>
  </si>
  <si>
    <t>PauseOnErr</t>
  </si>
  <si>
    <t>Solver</t>
  </si>
  <si>
    <t>Graph</t>
  </si>
  <si>
    <t>#Chrom.</t>
  </si>
  <si>
    <t>#Const</t>
  </si>
  <si>
    <t>Method</t>
  </si>
  <si>
    <t>Mutation</t>
  </si>
  <si>
    <t>Crossover</t>
  </si>
  <si>
    <t>Descr.</t>
  </si>
  <si>
    <t>TimeBlocks</t>
  </si>
  <si>
    <t>Const</t>
  </si>
  <si>
    <t>#Ranges</t>
  </si>
  <si>
    <t>Range</t>
  </si>
  <si>
    <t>Min</t>
  </si>
  <si>
    <t>Max</t>
  </si>
  <si>
    <t>Flags</t>
  </si>
  <si>
    <t>Type</t>
  </si>
  <si>
    <t>Entry M.</t>
  </si>
  <si>
    <t>Formula</t>
  </si>
  <si>
    <t>Description</t>
  </si>
  <si>
    <t>LeftVal</t>
  </si>
  <si>
    <t>LeftOp</t>
  </si>
  <si>
    <t>Ref</t>
  </si>
  <si>
    <t>RightOp</t>
  </si>
  <si>
    <t>RightVal</t>
  </si>
  <si>
    <t>Tolerance</t>
  </si>
  <si>
    <t>Priority</t>
  </si>
  <si>
    <t>order</t>
  </si>
  <si>
    <t>Albacete</t>
  </si>
  <si>
    <t>Alicante</t>
  </si>
  <si>
    <t>Badajoz</t>
  </si>
  <si>
    <t>Barcelona</t>
  </si>
  <si>
    <t>Burgos</t>
  </si>
  <si>
    <t>Córdoba</t>
  </si>
  <si>
    <t>A Coruña</t>
  </si>
  <si>
    <t>León</t>
  </si>
  <si>
    <t>Madrid</t>
  </si>
  <si>
    <t>Pamplona</t>
  </si>
  <si>
    <t>Salamanca</t>
  </si>
  <si>
    <t>Sevilla</t>
  </si>
  <si>
    <t>Valencia</t>
  </si>
  <si>
    <t>Zaragoza</t>
  </si>
  <si>
    <t>Castellón</t>
  </si>
  <si>
    <t>x</t>
  </si>
  <si>
    <t>y</t>
  </si>
  <si>
    <t>Lleida</t>
  </si>
  <si>
    <t>Málaga</t>
  </si>
  <si>
    <t>Santander</t>
  </si>
  <si>
    <t>Vigo</t>
  </si>
  <si>
    <t>Ourense</t>
  </si>
  <si>
    <t>Falso,Falso,Falso</t>
  </si>
  <si>
    <t>Coordinates</t>
  </si>
  <si>
    <t>Orden visita</t>
  </si>
  <si>
    <t>El problema del viajante de comercio "The Traveling Salesman Problem" (TSP)</t>
  </si>
  <si>
    <t>Distancia Total</t>
  </si>
  <si>
    <t>Distancias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</si>
</sst>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MS Sans Serif"/>
    </font>
    <font>
      <b/>
      <sz val="10"/>
      <name val="MS Sans Serif"/>
    </font>
    <font>
      <sz val="8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b/>
      <u/>
      <sz val="12"/>
      <color indexed="18"/>
      <name val="Arial"/>
      <family val="2"/>
    </font>
    <font>
      <b/>
      <sz val="9"/>
      <name val="Arial"/>
      <family val="2"/>
    </font>
    <font>
      <sz val="8"/>
      <name val="MS Sans Serif"/>
    </font>
    <font>
      <b/>
      <sz val="8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b/>
      <u/>
      <sz val="8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mediumGray">
        <fgColor indexed="9"/>
        <bgColor indexed="43"/>
      </patternFill>
    </fill>
    <fill>
      <patternFill patternType="mediumGray">
        <fgColor indexed="9"/>
        <bgColor indexed="42"/>
      </patternFill>
    </fill>
  </fills>
  <borders count="12">
    <border>
      <left/>
      <right/>
      <top/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ck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5" fillId="0" borderId="0" xfId="0" applyFont="1"/>
    <xf numFmtId="0" fontId="2" fillId="0" borderId="0" xfId="0" applyFont="1"/>
    <xf numFmtId="0" fontId="4" fillId="0" borderId="0" xfId="0" applyFont="1"/>
    <xf numFmtId="0" fontId="3" fillId="0" borderId="1" xfId="0" applyFont="1" applyBorder="1"/>
    <xf numFmtId="0" fontId="1" fillId="0" borderId="0" xfId="0" applyFont="1"/>
    <xf numFmtId="11" fontId="0" fillId="0" borderId="0" xfId="0" applyNumberFormat="1"/>
    <xf numFmtId="0" fontId="6" fillId="0" borderId="2" xfId="0" applyFont="1" applyBorder="1"/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textRotation="45"/>
    </xf>
    <xf numFmtId="0" fontId="2" fillId="0" borderId="0" xfId="0" applyFont="1" applyAlignment="1" applyProtection="1">
      <alignment horizontal="center"/>
      <protection hidden="1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9" fillId="0" borderId="0" xfId="0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textRotation="45"/>
    </xf>
    <xf numFmtId="0" fontId="11" fillId="0" borderId="0" xfId="0" applyFont="1"/>
    <xf numFmtId="0" fontId="10" fillId="0" borderId="0" xfId="0" applyFont="1"/>
    <xf numFmtId="0" fontId="1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8437707030678872E-2"/>
          <c:y val="2.7977436878635891E-2"/>
          <c:w val="0.93470490193251798"/>
          <c:h val="0.9478553765319117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xVal>
            <c:numRef>
              <c:f>TSP!$AC$4:$AC$24</c:f>
              <c:numCache>
                <c:formatCode>General</c:formatCode>
                <c:ptCount val="21"/>
                <c:pt idx="0">
                  <c:v>61.7</c:v>
                </c:pt>
                <c:pt idx="1">
                  <c:v>67.3</c:v>
                </c:pt>
                <c:pt idx="2">
                  <c:v>78</c:v>
                </c:pt>
                <c:pt idx="3">
                  <c:v>89.8</c:v>
                </c:pt>
                <c:pt idx="4">
                  <c:v>74.2</c:v>
                </c:pt>
                <c:pt idx="5">
                  <c:v>60.6</c:v>
                </c:pt>
                <c:pt idx="6">
                  <c:v>71.5</c:v>
                </c:pt>
                <c:pt idx="7">
                  <c:v>71.7</c:v>
                </c:pt>
                <c:pt idx="8">
                  <c:v>41.5</c:v>
                </c:pt>
                <c:pt idx="9">
                  <c:v>38.799999999999997</c:v>
                </c:pt>
                <c:pt idx="10">
                  <c:v>29.5</c:v>
                </c:pt>
                <c:pt idx="11">
                  <c:v>22.2</c:v>
                </c:pt>
                <c:pt idx="12">
                  <c:v>17</c:v>
                </c:pt>
                <c:pt idx="13">
                  <c:v>11</c:v>
                </c:pt>
                <c:pt idx="14">
                  <c:v>13.7</c:v>
                </c:pt>
                <c:pt idx="15">
                  <c:v>33.5</c:v>
                </c:pt>
                <c:pt idx="16">
                  <c:v>46.8</c:v>
                </c:pt>
                <c:pt idx="17">
                  <c:v>32.6</c:v>
                </c:pt>
                <c:pt idx="18">
                  <c:v>47.2</c:v>
                </c:pt>
                <c:pt idx="19">
                  <c:v>46.4</c:v>
                </c:pt>
                <c:pt idx="20">
                  <c:v>61.7</c:v>
                </c:pt>
              </c:numCache>
            </c:numRef>
          </c:xVal>
          <c:yVal>
            <c:numRef>
              <c:f>TSP!$AD$4:$AD$24</c:f>
              <c:numCache>
                <c:formatCode>General</c:formatCode>
                <c:ptCount val="21"/>
                <c:pt idx="0">
                  <c:v>85.5</c:v>
                </c:pt>
                <c:pt idx="1">
                  <c:v>71.5</c:v>
                </c:pt>
                <c:pt idx="2">
                  <c:v>72</c:v>
                </c:pt>
                <c:pt idx="3">
                  <c:v>70.3</c:v>
                </c:pt>
                <c:pt idx="4">
                  <c:v>51.5</c:v>
                </c:pt>
                <c:pt idx="5">
                  <c:v>38.4</c:v>
                </c:pt>
                <c:pt idx="6">
                  <c:v>31</c:v>
                </c:pt>
                <c:pt idx="7">
                  <c:v>44.8</c:v>
                </c:pt>
                <c:pt idx="8">
                  <c:v>10</c:v>
                </c:pt>
                <c:pt idx="9">
                  <c:v>24.5</c:v>
                </c:pt>
                <c:pt idx="10">
                  <c:v>18.7</c:v>
                </c:pt>
                <c:pt idx="11">
                  <c:v>38</c:v>
                </c:pt>
                <c:pt idx="12">
                  <c:v>80.2</c:v>
                </c:pt>
                <c:pt idx="13">
                  <c:v>79</c:v>
                </c:pt>
                <c:pt idx="14">
                  <c:v>93</c:v>
                </c:pt>
                <c:pt idx="15">
                  <c:v>83</c:v>
                </c:pt>
                <c:pt idx="16">
                  <c:v>56</c:v>
                </c:pt>
                <c:pt idx="17">
                  <c:v>63</c:v>
                </c:pt>
                <c:pt idx="18">
                  <c:v>81</c:v>
                </c:pt>
                <c:pt idx="19">
                  <c:v>93</c:v>
                </c:pt>
                <c:pt idx="20">
                  <c:v>85.5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EB-402E-B96D-0DDCD8229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86383"/>
        <c:axId val="1"/>
      </c:scatterChart>
      <c:valAx>
        <c:axId val="440686383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1"/>
        <c:minorUnit val="1"/>
      </c:valAx>
      <c:valAx>
        <c:axId val="1"/>
        <c:scaling>
          <c:orientation val="minMax"/>
          <c:max val="10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6350">
            <a:noFill/>
          </a:ln>
        </c:spPr>
        <c:crossAx val="440686383"/>
        <c:crosses val="autoZero"/>
        <c:crossBetween val="midCat"/>
        <c:majorUnit val="1"/>
        <c:minorUnit val="1"/>
      </c:valAx>
      <c:spPr>
        <a:blipFill dpi="0" rotWithShape="0">
          <a:blip xmlns:r="http://schemas.openxmlformats.org/officeDocument/2006/relationships" r:embed="rId2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49696</xdr:colOff>
      <xdr:row>1</xdr:row>
      <xdr:rowOff>38929</xdr:rowOff>
    </xdr:from>
    <xdr:to>
      <xdr:col>27</xdr:col>
      <xdr:colOff>571499</xdr:colOff>
      <xdr:row>39</xdr:row>
      <xdr:rowOff>16565</xdr:rowOff>
    </xdr:to>
    <xdr:graphicFrame macro="">
      <xdr:nvGraphicFramePr>
        <xdr:cNvPr id="1027" name="Chart 3"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H16"/>
  <sheetViews>
    <sheetView workbookViewId="0">
      <selection activeCell="A16" sqref="A16"/>
    </sheetView>
  </sheetViews>
  <sheetFormatPr baseColWidth="10" defaultColWidth="8.77734375" defaultRowHeight="12.6" x14ac:dyDescent="0.25"/>
  <cols>
    <col min="1" max="1" width="11.77734375" customWidth="1"/>
    <col min="2" max="4" width="10.77734375" customWidth="1"/>
    <col min="5" max="5" width="12.77734375" customWidth="1"/>
    <col min="6" max="11" width="10.77734375" customWidth="1"/>
  </cols>
  <sheetData>
    <row r="1" spans="1:60" x14ac:dyDescent="0.25">
      <c r="A1" s="5" t="s">
        <v>0</v>
      </c>
      <c r="B1">
        <f>TSP!$C$40</f>
        <v>4474</v>
      </c>
      <c r="F1" s="5" t="s">
        <v>1</v>
      </c>
      <c r="J1">
        <v>3</v>
      </c>
    </row>
    <row r="2" spans="1:60" x14ac:dyDescent="0.25">
      <c r="A2" s="5" t="s">
        <v>2</v>
      </c>
      <c r="B2">
        <v>1</v>
      </c>
      <c r="C2">
        <v>0</v>
      </c>
      <c r="F2" s="5" t="s">
        <v>3</v>
      </c>
      <c r="G2" t="b">
        <v>0</v>
      </c>
    </row>
    <row r="3" spans="1:60" x14ac:dyDescent="0.25">
      <c r="A3" s="5" t="s">
        <v>4</v>
      </c>
      <c r="B3" t="b">
        <v>1</v>
      </c>
      <c r="C3">
        <v>5000</v>
      </c>
      <c r="F3" s="5" t="s">
        <v>5</v>
      </c>
      <c r="G3" t="b">
        <v>0</v>
      </c>
    </row>
    <row r="4" spans="1:60" x14ac:dyDescent="0.25">
      <c r="A4" s="5" t="s">
        <v>6</v>
      </c>
      <c r="B4" t="b">
        <v>0</v>
      </c>
      <c r="C4">
        <v>5</v>
      </c>
      <c r="F4" s="5" t="s">
        <v>7</v>
      </c>
      <c r="G4" t="b">
        <v>0</v>
      </c>
    </row>
    <row r="5" spans="1:60" x14ac:dyDescent="0.25">
      <c r="A5" s="5" t="s">
        <v>8</v>
      </c>
      <c r="B5" t="b">
        <v>0</v>
      </c>
      <c r="C5">
        <v>100</v>
      </c>
      <c r="D5">
        <v>1E-4</v>
      </c>
      <c r="E5" t="b">
        <v>0</v>
      </c>
      <c r="F5" s="5" t="s">
        <v>9</v>
      </c>
      <c r="G5" t="b">
        <v>0</v>
      </c>
    </row>
    <row r="6" spans="1:60" x14ac:dyDescent="0.25">
      <c r="A6" s="5" t="s">
        <v>10</v>
      </c>
      <c r="B6" t="b">
        <v>0</v>
      </c>
      <c r="F6" s="5" t="s">
        <v>11</v>
      </c>
      <c r="G6" t="b">
        <v>0</v>
      </c>
    </row>
    <row r="7" spans="1:60" x14ac:dyDescent="0.25">
      <c r="A7" s="5" t="s">
        <v>12</v>
      </c>
      <c r="B7">
        <v>100</v>
      </c>
      <c r="F7" s="5"/>
    </row>
    <row r="8" spans="1:60" x14ac:dyDescent="0.25">
      <c r="A8" s="5" t="s">
        <v>13</v>
      </c>
      <c r="B8" t="s">
        <v>14</v>
      </c>
      <c r="F8" s="5" t="s">
        <v>15</v>
      </c>
      <c r="G8" t="b">
        <v>1</v>
      </c>
      <c r="H8">
        <v>1</v>
      </c>
    </row>
    <row r="9" spans="1:60" x14ac:dyDescent="0.25">
      <c r="A9" s="5" t="s">
        <v>16</v>
      </c>
      <c r="B9">
        <v>2</v>
      </c>
    </row>
    <row r="10" spans="1:60" x14ac:dyDescent="0.25">
      <c r="A10" s="5" t="s">
        <v>17</v>
      </c>
      <c r="B10" t="b">
        <v>0</v>
      </c>
    </row>
    <row r="11" spans="1:60" x14ac:dyDescent="0.25">
      <c r="A11" s="5" t="s">
        <v>18</v>
      </c>
      <c r="B11" t="s">
        <v>14</v>
      </c>
    </row>
    <row r="12" spans="1:60" x14ac:dyDescent="0.25">
      <c r="A12" s="5" t="s">
        <v>19</v>
      </c>
      <c r="B12" t="b">
        <v>0</v>
      </c>
    </row>
    <row r="13" spans="1:60" ht="13.2" thickBot="1" x14ac:dyDescent="0.3">
      <c r="A13" s="5"/>
    </row>
    <row r="14" spans="1:60" s="7" customFormat="1" ht="13.2" thickTop="1" thickBot="1" x14ac:dyDescent="0.3">
      <c r="A14" s="7" t="s">
        <v>20</v>
      </c>
      <c r="B14" s="7">
        <v>1</v>
      </c>
      <c r="AX14" s="7" t="s">
        <v>21</v>
      </c>
      <c r="AY14" s="7">
        <v>0</v>
      </c>
    </row>
    <row r="15" spans="1:60" s="7" customFormat="1" thickTop="1" x14ac:dyDescent="0.25">
      <c r="A15" s="7" t="s">
        <v>22</v>
      </c>
      <c r="B15" s="7" t="s">
        <v>23</v>
      </c>
      <c r="C15" s="7" t="s">
        <v>24</v>
      </c>
      <c r="D15" s="7" t="s">
        <v>25</v>
      </c>
      <c r="E15" s="7" t="s">
        <v>26</v>
      </c>
      <c r="F15" s="7" t="s">
        <v>27</v>
      </c>
      <c r="G15" s="7" t="s">
        <v>28</v>
      </c>
      <c r="H15" s="7" t="s">
        <v>29</v>
      </c>
      <c r="I15" s="7" t="s">
        <v>30</v>
      </c>
      <c r="J15" s="7" t="s">
        <v>31</v>
      </c>
      <c r="K15" s="7" t="s">
        <v>32</v>
      </c>
      <c r="AX15" s="7" t="s">
        <v>33</v>
      </c>
      <c r="AY15" s="7" t="s">
        <v>34</v>
      </c>
      <c r="AZ15" s="7" t="s">
        <v>35</v>
      </c>
      <c r="BA15" s="7" t="s">
        <v>36</v>
      </c>
      <c r="BB15" s="7" t="s">
        <v>37</v>
      </c>
      <c r="BC15" s="7" t="s">
        <v>38</v>
      </c>
      <c r="BD15" s="7" t="s">
        <v>39</v>
      </c>
      <c r="BE15" s="7" t="s">
        <v>40</v>
      </c>
      <c r="BF15" s="7" t="s">
        <v>41</v>
      </c>
      <c r="BG15" s="7" t="s">
        <v>42</v>
      </c>
      <c r="BH15" s="7" t="s">
        <v>43</v>
      </c>
    </row>
    <row r="16" spans="1:60" x14ac:dyDescent="0.25">
      <c r="A16" t="s">
        <v>44</v>
      </c>
      <c r="B16">
        <v>-1</v>
      </c>
      <c r="C16">
        <v>0.8</v>
      </c>
      <c r="E16">
        <v>0</v>
      </c>
      <c r="G16">
        <v>1</v>
      </c>
      <c r="H16">
        <f>Orden</f>
        <v>13</v>
      </c>
      <c r="I16" s="6">
        <v>-1.0000000000000001E+300</v>
      </c>
      <c r="J16" s="6">
        <v>1.0000000000000001E+300</v>
      </c>
      <c r="K16" t="s">
        <v>67</v>
      </c>
    </row>
  </sheetData>
  <phoneticPr fontId="7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1:AD61"/>
  <sheetViews>
    <sheetView showGridLines="0" tabSelected="1" zoomScale="115" zoomScaleNormal="115" workbookViewId="0">
      <selection activeCell="C32" sqref="C32"/>
    </sheetView>
  </sheetViews>
  <sheetFormatPr baseColWidth="10" defaultColWidth="9.21875" defaultRowHeight="9" customHeight="1" x14ac:dyDescent="0.2"/>
  <cols>
    <col min="1" max="1" width="4.21875" style="2" customWidth="1"/>
    <col min="2" max="2" width="3" style="2" customWidth="1"/>
    <col min="3" max="3" width="8.21875" style="2" customWidth="1"/>
    <col min="4" max="4" width="4.21875" style="2" customWidth="1"/>
    <col min="5" max="6" width="3.44140625" style="2" bestFit="1" customWidth="1"/>
    <col min="7" max="7" width="3.44140625" style="2" customWidth="1"/>
    <col min="8" max="8" width="4.21875" style="2" customWidth="1"/>
    <col min="9" max="15" width="3.44140625" style="2" bestFit="1" customWidth="1"/>
    <col min="16" max="17" width="3.77734375" style="9" bestFit="1" customWidth="1"/>
    <col min="18" max="21" width="3.44140625" style="2" bestFit="1" customWidth="1"/>
    <col min="22" max="22" width="4.5546875" style="2" customWidth="1"/>
    <col min="23" max="23" width="3.44140625" style="2" bestFit="1" customWidth="1"/>
    <col min="24" max="24" width="1.5546875" style="2" customWidth="1"/>
    <col min="25" max="25" width="5.21875" style="2" customWidth="1"/>
    <col min="26" max="26" width="4.5546875" style="2" customWidth="1"/>
    <col min="27" max="16384" width="9.21875" style="2"/>
  </cols>
  <sheetData>
    <row r="1" spans="2:30" ht="16.2" customHeight="1" x14ac:dyDescent="0.3">
      <c r="B1" s="1" t="s">
        <v>70</v>
      </c>
      <c r="P1" s="8"/>
      <c r="Q1" s="8"/>
    </row>
    <row r="2" spans="2:30" ht="11.55" customHeight="1" x14ac:dyDescent="0.3">
      <c r="B2" s="1"/>
      <c r="P2" s="8"/>
      <c r="Q2" s="8"/>
    </row>
    <row r="3" spans="2:30" ht="10.5" customHeight="1" thickBot="1" x14ac:dyDescent="0.25">
      <c r="B3" s="3" t="s">
        <v>69</v>
      </c>
      <c r="AC3" s="24" t="s">
        <v>60</v>
      </c>
      <c r="AD3" s="24" t="s">
        <v>61</v>
      </c>
    </row>
    <row r="4" spans="2:30" ht="10.5" customHeight="1" thickBot="1" x14ac:dyDescent="0.3">
      <c r="B4" s="4">
        <v>14</v>
      </c>
      <c r="C4" s="2" t="str">
        <f t="shared" ref="C4:C23" si="0">INDEX(ciudades,B4)</f>
        <v>Pamplona</v>
      </c>
      <c r="E4"/>
      <c r="F4"/>
      <c r="AC4" s="25">
        <f t="shared" ref="AC4:AC23" si="1">INDEX(coordenadas,B4,1)</f>
        <v>61.7</v>
      </c>
      <c r="AD4" s="25">
        <f t="shared" ref="AD4:AD23" si="2">INDEX(coordenadas,B4,2)</f>
        <v>85.5</v>
      </c>
    </row>
    <row r="5" spans="2:30" ht="10.5" customHeight="1" thickBot="1" x14ac:dyDescent="0.25">
      <c r="B5" s="4">
        <v>20</v>
      </c>
      <c r="C5" s="2" t="str">
        <f t="shared" si="0"/>
        <v>Zaragoza</v>
      </c>
      <c r="AC5" s="25">
        <f t="shared" si="1"/>
        <v>67.3</v>
      </c>
      <c r="AD5" s="25">
        <f t="shared" si="2"/>
        <v>71.5</v>
      </c>
    </row>
    <row r="6" spans="2:30" ht="10.5" customHeight="1" thickBot="1" x14ac:dyDescent="0.25">
      <c r="B6" s="4">
        <v>10</v>
      </c>
      <c r="C6" s="2" t="str">
        <f t="shared" si="0"/>
        <v>Lleida</v>
      </c>
      <c r="AC6" s="25">
        <f t="shared" si="1"/>
        <v>78</v>
      </c>
      <c r="AD6" s="25">
        <f t="shared" si="2"/>
        <v>72</v>
      </c>
    </row>
    <row r="7" spans="2:30" ht="10.5" customHeight="1" thickBot="1" x14ac:dyDescent="0.25">
      <c r="B7" s="4">
        <v>5</v>
      </c>
      <c r="C7" s="2" t="str">
        <f t="shared" si="0"/>
        <v>Barcelona</v>
      </c>
      <c r="AC7" s="25">
        <f t="shared" si="1"/>
        <v>89.8</v>
      </c>
      <c r="AD7" s="25">
        <f t="shared" si="2"/>
        <v>70.3</v>
      </c>
    </row>
    <row r="8" spans="2:30" ht="10.5" customHeight="1" thickBot="1" x14ac:dyDescent="0.3">
      <c r="B8" s="4">
        <v>7</v>
      </c>
      <c r="C8" s="2" t="str">
        <f t="shared" si="0"/>
        <v>Castellón</v>
      </c>
      <c r="G8"/>
      <c r="H8"/>
      <c r="AC8" s="25">
        <f t="shared" si="1"/>
        <v>74.2</v>
      </c>
      <c r="AD8" s="25">
        <f t="shared" si="2"/>
        <v>51.5</v>
      </c>
    </row>
    <row r="9" spans="2:30" ht="10.5" customHeight="1" thickBot="1" x14ac:dyDescent="0.25">
      <c r="B9" s="4">
        <v>2</v>
      </c>
      <c r="C9" s="2" t="str">
        <f t="shared" si="0"/>
        <v>Albacete</v>
      </c>
      <c r="AC9" s="25">
        <f t="shared" si="1"/>
        <v>60.6</v>
      </c>
      <c r="AD9" s="25">
        <f t="shared" si="2"/>
        <v>38.4</v>
      </c>
    </row>
    <row r="10" spans="2:30" ht="10.5" customHeight="1" thickBot="1" x14ac:dyDescent="0.25">
      <c r="B10" s="4">
        <v>3</v>
      </c>
      <c r="C10" s="2" t="str">
        <f t="shared" si="0"/>
        <v>Alicante</v>
      </c>
      <c r="AC10" s="25">
        <f t="shared" si="1"/>
        <v>71.5</v>
      </c>
      <c r="AD10" s="25">
        <f t="shared" si="2"/>
        <v>31</v>
      </c>
    </row>
    <row r="11" spans="2:30" ht="10.5" customHeight="1" thickBot="1" x14ac:dyDescent="0.25">
      <c r="B11" s="4">
        <v>18</v>
      </c>
      <c r="C11" s="2" t="str">
        <f t="shared" si="0"/>
        <v>Valencia</v>
      </c>
      <c r="AC11" s="25">
        <f t="shared" si="1"/>
        <v>71.7</v>
      </c>
      <c r="AD11" s="25">
        <f t="shared" si="2"/>
        <v>44.8</v>
      </c>
    </row>
    <row r="12" spans="2:30" ht="10.5" customHeight="1" thickBot="1" x14ac:dyDescent="0.25">
      <c r="B12" s="4">
        <v>12</v>
      </c>
      <c r="C12" s="2" t="str">
        <f t="shared" si="0"/>
        <v>Málaga</v>
      </c>
      <c r="AC12" s="25">
        <f t="shared" si="1"/>
        <v>41.5</v>
      </c>
      <c r="AD12" s="25">
        <f t="shared" si="2"/>
        <v>10</v>
      </c>
    </row>
    <row r="13" spans="2:30" ht="10.5" customHeight="1" thickBot="1" x14ac:dyDescent="0.25">
      <c r="B13" s="4">
        <v>8</v>
      </c>
      <c r="C13" s="2" t="str">
        <f t="shared" si="0"/>
        <v>Córdoba</v>
      </c>
      <c r="AC13" s="25">
        <f t="shared" si="1"/>
        <v>38.799999999999997</v>
      </c>
      <c r="AD13" s="25">
        <f t="shared" si="2"/>
        <v>24.5</v>
      </c>
    </row>
    <row r="14" spans="2:30" ht="10.5" customHeight="1" thickBot="1" x14ac:dyDescent="0.25">
      <c r="B14" s="4">
        <v>17</v>
      </c>
      <c r="C14" s="2" t="str">
        <f t="shared" si="0"/>
        <v>Sevilla</v>
      </c>
      <c r="AC14" s="25">
        <f t="shared" si="1"/>
        <v>29.5</v>
      </c>
      <c r="AD14" s="25">
        <f t="shared" si="2"/>
        <v>18.7</v>
      </c>
    </row>
    <row r="15" spans="2:30" ht="10.5" customHeight="1" thickBot="1" x14ac:dyDescent="0.25">
      <c r="B15" s="4">
        <v>4</v>
      </c>
      <c r="C15" s="2" t="str">
        <f t="shared" si="0"/>
        <v>Badajoz</v>
      </c>
      <c r="AC15" s="25">
        <f t="shared" si="1"/>
        <v>22.2</v>
      </c>
      <c r="AD15" s="25">
        <f t="shared" si="2"/>
        <v>38</v>
      </c>
    </row>
    <row r="16" spans="2:30" ht="10.5" customHeight="1" thickBot="1" x14ac:dyDescent="0.25">
      <c r="B16" s="4">
        <v>13</v>
      </c>
      <c r="C16" s="2" t="str">
        <f t="shared" si="0"/>
        <v>Ourense</v>
      </c>
      <c r="AC16" s="25">
        <f t="shared" si="1"/>
        <v>17</v>
      </c>
      <c r="AD16" s="25">
        <f t="shared" si="2"/>
        <v>80.2</v>
      </c>
    </row>
    <row r="17" spans="2:30" ht="10.5" customHeight="1" thickBot="1" x14ac:dyDescent="0.25">
      <c r="B17" s="4">
        <v>19</v>
      </c>
      <c r="C17" s="2" t="str">
        <f t="shared" si="0"/>
        <v>Vigo</v>
      </c>
      <c r="AC17" s="25">
        <f t="shared" si="1"/>
        <v>11</v>
      </c>
      <c r="AD17" s="25">
        <f t="shared" si="2"/>
        <v>79</v>
      </c>
    </row>
    <row r="18" spans="2:30" ht="10.5" customHeight="1" thickBot="1" x14ac:dyDescent="0.25">
      <c r="B18" s="4">
        <v>1</v>
      </c>
      <c r="C18" s="2" t="str">
        <f t="shared" si="0"/>
        <v>A Coruña</v>
      </c>
      <c r="AC18" s="25">
        <f t="shared" si="1"/>
        <v>13.7</v>
      </c>
      <c r="AD18" s="25">
        <f t="shared" si="2"/>
        <v>93</v>
      </c>
    </row>
    <row r="19" spans="2:30" ht="10.5" customHeight="1" thickBot="1" x14ac:dyDescent="0.25">
      <c r="B19" s="4">
        <v>9</v>
      </c>
      <c r="C19" s="2" t="str">
        <f t="shared" si="0"/>
        <v>León</v>
      </c>
      <c r="AC19" s="25">
        <f t="shared" si="1"/>
        <v>33.5</v>
      </c>
      <c r="AD19" s="25">
        <f t="shared" si="2"/>
        <v>83</v>
      </c>
    </row>
    <row r="20" spans="2:30" ht="10.5" customHeight="1" thickBot="1" x14ac:dyDescent="0.25">
      <c r="B20" s="4">
        <v>11</v>
      </c>
      <c r="C20" s="2" t="str">
        <f t="shared" si="0"/>
        <v>Madrid</v>
      </c>
      <c r="AC20" s="25">
        <f t="shared" si="1"/>
        <v>46.8</v>
      </c>
      <c r="AD20" s="25">
        <f t="shared" si="2"/>
        <v>56</v>
      </c>
    </row>
    <row r="21" spans="2:30" ht="10.5" customHeight="1" thickBot="1" x14ac:dyDescent="0.25">
      <c r="B21" s="4">
        <v>15</v>
      </c>
      <c r="C21" s="2" t="str">
        <f t="shared" si="0"/>
        <v>Salamanca</v>
      </c>
      <c r="AC21" s="25">
        <f t="shared" si="1"/>
        <v>32.6</v>
      </c>
      <c r="AD21" s="25">
        <f t="shared" si="2"/>
        <v>63</v>
      </c>
    </row>
    <row r="22" spans="2:30" ht="10.5" customHeight="1" thickBot="1" x14ac:dyDescent="0.25">
      <c r="B22" s="4">
        <v>6</v>
      </c>
      <c r="C22" s="2" t="str">
        <f t="shared" si="0"/>
        <v>Burgos</v>
      </c>
      <c r="AC22" s="25">
        <f t="shared" si="1"/>
        <v>47.2</v>
      </c>
      <c r="AD22" s="25">
        <f t="shared" si="2"/>
        <v>81</v>
      </c>
    </row>
    <row r="23" spans="2:30" ht="10.5" customHeight="1" thickBot="1" x14ac:dyDescent="0.25">
      <c r="B23" s="4">
        <v>16</v>
      </c>
      <c r="C23" s="2" t="str">
        <f t="shared" si="0"/>
        <v>Santander</v>
      </c>
      <c r="AC23" s="25">
        <f t="shared" si="1"/>
        <v>46.4</v>
      </c>
      <c r="AD23" s="25">
        <f t="shared" si="2"/>
        <v>93</v>
      </c>
    </row>
    <row r="24" spans="2:30" ht="10.5" customHeight="1" x14ac:dyDescent="0.2">
      <c r="AC24" s="25">
        <f>AC4</f>
        <v>61.7</v>
      </c>
      <c r="AD24" s="25">
        <f>AD4</f>
        <v>85.5</v>
      </c>
    </row>
    <row r="25" spans="2:30" ht="10.5" customHeight="1" x14ac:dyDescent="0.2">
      <c r="U25" s="11"/>
      <c r="V25" s="11"/>
    </row>
    <row r="26" spans="2:30" ht="10.5" customHeight="1" x14ac:dyDescent="0.2">
      <c r="U26" s="11"/>
      <c r="V26" s="11"/>
    </row>
    <row r="27" spans="2:30" ht="10.5" customHeight="1" x14ac:dyDescent="0.2">
      <c r="U27" s="11"/>
      <c r="V27" s="11"/>
    </row>
    <row r="28" spans="2:30" ht="10.5" customHeight="1" x14ac:dyDescent="0.2">
      <c r="U28" s="11"/>
      <c r="V28" s="11"/>
    </row>
    <row r="29" spans="2:30" ht="10.5" customHeight="1" x14ac:dyDescent="0.2">
      <c r="U29" s="11"/>
      <c r="V29" s="11"/>
    </row>
    <row r="30" spans="2:30" ht="10.5" customHeight="1" x14ac:dyDescent="0.2">
      <c r="U30" s="11"/>
      <c r="V30" s="11"/>
    </row>
    <row r="31" spans="2:30" ht="10.5" customHeight="1" x14ac:dyDescent="0.2">
      <c r="U31" s="11"/>
      <c r="V31" s="11"/>
    </row>
    <row r="32" spans="2:30" ht="10.5" customHeight="1" x14ac:dyDescent="0.2">
      <c r="U32" s="11"/>
      <c r="V32" s="11"/>
    </row>
    <row r="33" spans="2:28" ht="10.5" customHeight="1" x14ac:dyDescent="0.2">
      <c r="U33" s="11"/>
      <c r="V33" s="11"/>
    </row>
    <row r="34" spans="2:28" ht="10.5" customHeight="1" x14ac:dyDescent="0.2">
      <c r="U34" s="11"/>
      <c r="V34" s="11"/>
    </row>
    <row r="35" spans="2:28" ht="10.5" customHeight="1" x14ac:dyDescent="0.2">
      <c r="U35" s="11"/>
      <c r="V35" s="11"/>
    </row>
    <row r="36" spans="2:28" ht="10.5" customHeight="1" x14ac:dyDescent="0.2">
      <c r="U36" s="11"/>
      <c r="V36" s="11"/>
    </row>
    <row r="37" spans="2:28" ht="10.5" customHeight="1" x14ac:dyDescent="0.2">
      <c r="U37" s="11"/>
      <c r="V37" s="11"/>
    </row>
    <row r="38" spans="2:28" ht="10.5" customHeight="1" x14ac:dyDescent="0.2">
      <c r="U38" s="11"/>
      <c r="V38" s="11"/>
    </row>
    <row r="39" spans="2:28" ht="12" customHeight="1" thickBot="1" x14ac:dyDescent="0.25">
      <c r="C39" s="23" t="s">
        <v>71</v>
      </c>
    </row>
    <row r="40" spans="2:28" ht="13.2" thickBot="1" x14ac:dyDescent="0.3">
      <c r="B40"/>
      <c r="C40" s="22">
        <f>RouteLength(Orden,distancias)</f>
        <v>4474</v>
      </c>
    </row>
    <row r="41" spans="2:28" ht="29.55" customHeight="1" x14ac:dyDescent="0.2">
      <c r="B41" s="3" t="s">
        <v>72</v>
      </c>
      <c r="D41" s="10" t="s">
        <v>51</v>
      </c>
      <c r="E41" s="10" t="s">
        <v>45</v>
      </c>
      <c r="F41" s="10" t="s">
        <v>46</v>
      </c>
      <c r="G41" s="10" t="s">
        <v>47</v>
      </c>
      <c r="H41" s="10" t="s">
        <v>48</v>
      </c>
      <c r="I41" s="10" t="s">
        <v>49</v>
      </c>
      <c r="J41" s="10" t="s">
        <v>59</v>
      </c>
      <c r="K41" s="10" t="s">
        <v>50</v>
      </c>
      <c r="L41" s="10" t="s">
        <v>52</v>
      </c>
      <c r="M41" s="10" t="s">
        <v>62</v>
      </c>
      <c r="N41" s="10" t="s">
        <v>53</v>
      </c>
      <c r="O41" s="10" t="s">
        <v>63</v>
      </c>
      <c r="P41" s="10" t="s">
        <v>66</v>
      </c>
      <c r="Q41" s="10" t="s">
        <v>54</v>
      </c>
      <c r="R41" s="10" t="s">
        <v>55</v>
      </c>
      <c r="S41" s="10" t="s">
        <v>64</v>
      </c>
      <c r="T41" s="10" t="s">
        <v>56</v>
      </c>
      <c r="U41" s="10" t="s">
        <v>57</v>
      </c>
      <c r="V41" s="10" t="s">
        <v>65</v>
      </c>
      <c r="W41" s="10" t="s">
        <v>58</v>
      </c>
      <c r="X41" s="26"/>
      <c r="Y41" s="27" t="s">
        <v>68</v>
      </c>
      <c r="Z41" s="28"/>
      <c r="AA41" s="28"/>
    </row>
    <row r="42" spans="2:28" ht="9.75" customHeight="1" x14ac:dyDescent="0.2">
      <c r="B42" s="2">
        <v>1</v>
      </c>
      <c r="C42" s="2" t="s">
        <v>51</v>
      </c>
      <c r="D42" s="19">
        <v>0</v>
      </c>
      <c r="E42" s="12">
        <v>806</v>
      </c>
      <c r="F42" s="12">
        <v>969</v>
      </c>
      <c r="G42" s="12">
        <v>615</v>
      </c>
      <c r="H42" s="12">
        <v>1029</v>
      </c>
      <c r="I42" s="12">
        <v>461</v>
      </c>
      <c r="J42" s="12">
        <v>896</v>
      </c>
      <c r="K42" s="12">
        <v>823</v>
      </c>
      <c r="L42" s="12">
        <v>286</v>
      </c>
      <c r="M42" s="12">
        <v>876</v>
      </c>
      <c r="N42" s="12">
        <v>564</v>
      </c>
      <c r="O42" s="12">
        <v>971</v>
      </c>
      <c r="P42" s="12">
        <v>144</v>
      </c>
      <c r="Q42" s="12">
        <v>657</v>
      </c>
      <c r="R42" s="12">
        <v>426</v>
      </c>
      <c r="S42" s="12">
        <v>435</v>
      </c>
      <c r="T42" s="12">
        <v>825</v>
      </c>
      <c r="U42" s="12">
        <v>908</v>
      </c>
      <c r="V42" s="12">
        <v>141</v>
      </c>
      <c r="W42" s="13">
        <v>737</v>
      </c>
      <c r="X42" s="29"/>
      <c r="Y42" s="29">
        <v>13.7</v>
      </c>
      <c r="Z42" s="29">
        <v>93</v>
      </c>
      <c r="AA42" s="29"/>
      <c r="AB42" s="9"/>
    </row>
    <row r="43" spans="2:28" ht="9" customHeight="1" x14ac:dyDescent="0.2">
      <c r="B43" s="2">
        <v>2</v>
      </c>
      <c r="C43" s="2" t="s">
        <v>45</v>
      </c>
      <c r="D43" s="14">
        <v>806</v>
      </c>
      <c r="E43" s="20">
        <v>0</v>
      </c>
      <c r="F43" s="15">
        <v>163</v>
      </c>
      <c r="G43" s="15">
        <v>504</v>
      </c>
      <c r="H43" s="15">
        <v>497</v>
      </c>
      <c r="I43" s="15">
        <v>461</v>
      </c>
      <c r="J43" s="15">
        <v>228</v>
      </c>
      <c r="K43" s="15">
        <v>324</v>
      </c>
      <c r="L43" s="15">
        <v>562</v>
      </c>
      <c r="M43" s="15">
        <v>451</v>
      </c>
      <c r="N43" s="15">
        <v>240</v>
      </c>
      <c r="O43" s="15">
        <v>416</v>
      </c>
      <c r="P43" s="15">
        <v>722</v>
      </c>
      <c r="Q43" s="15">
        <v>519</v>
      </c>
      <c r="R43" s="15">
        <v>438</v>
      </c>
      <c r="S43" s="15">
        <v>610</v>
      </c>
      <c r="T43" s="15">
        <v>460</v>
      </c>
      <c r="U43" s="15">
        <v>167</v>
      </c>
      <c r="V43" s="15">
        <v>796</v>
      </c>
      <c r="W43" s="16">
        <v>379</v>
      </c>
      <c r="X43" s="29"/>
      <c r="Y43" s="29">
        <v>60.6</v>
      </c>
      <c r="Z43" s="29">
        <v>38.4</v>
      </c>
      <c r="AA43" s="29"/>
      <c r="AB43" s="9"/>
    </row>
    <row r="44" spans="2:28" ht="9" customHeight="1" x14ac:dyDescent="0.2">
      <c r="B44" s="2">
        <v>3</v>
      </c>
      <c r="C44" s="2" t="s">
        <v>46</v>
      </c>
      <c r="D44" s="14">
        <v>969</v>
      </c>
      <c r="E44" s="15">
        <v>163</v>
      </c>
      <c r="F44" s="20">
        <v>0</v>
      </c>
      <c r="G44" s="15">
        <v>651</v>
      </c>
      <c r="H44" s="15">
        <v>494</v>
      </c>
      <c r="I44" s="15">
        <v>624</v>
      </c>
      <c r="J44" s="15">
        <v>225</v>
      </c>
      <c r="K44" s="15">
        <v>442</v>
      </c>
      <c r="L44" s="15">
        <v>725</v>
      </c>
      <c r="M44" s="15">
        <v>455</v>
      </c>
      <c r="N44" s="15">
        <v>403</v>
      </c>
      <c r="O44" s="15">
        <v>452</v>
      </c>
      <c r="P44" s="15">
        <v>885</v>
      </c>
      <c r="Q44" s="15">
        <v>601</v>
      </c>
      <c r="R44" s="15">
        <v>601</v>
      </c>
      <c r="S44" s="15">
        <v>773</v>
      </c>
      <c r="T44" s="15">
        <v>569</v>
      </c>
      <c r="U44" s="15">
        <v>158</v>
      </c>
      <c r="V44" s="15">
        <v>959</v>
      </c>
      <c r="W44" s="16">
        <v>456</v>
      </c>
      <c r="X44" s="29"/>
      <c r="Y44" s="29">
        <v>71.5</v>
      </c>
      <c r="Z44" s="29">
        <v>31</v>
      </c>
      <c r="AA44" s="29"/>
      <c r="AB44" s="9"/>
    </row>
    <row r="45" spans="2:28" ht="9" customHeight="1" x14ac:dyDescent="0.2">
      <c r="B45" s="2">
        <v>4</v>
      </c>
      <c r="C45" s="2" t="s">
        <v>47</v>
      </c>
      <c r="D45" s="14">
        <v>615</v>
      </c>
      <c r="E45" s="15">
        <v>504</v>
      </c>
      <c r="F45" s="15">
        <v>651</v>
      </c>
      <c r="G45" s="20">
        <v>0</v>
      </c>
      <c r="H45" s="15">
        <v>974</v>
      </c>
      <c r="I45" s="15">
        <v>528</v>
      </c>
      <c r="J45" s="15">
        <v>710</v>
      </c>
      <c r="K45" s="15">
        <v>256</v>
      </c>
      <c r="L45" s="15">
        <v>490</v>
      </c>
      <c r="M45" s="15">
        <v>830</v>
      </c>
      <c r="N45" s="15">
        <v>381</v>
      </c>
      <c r="O45" s="15">
        <v>369</v>
      </c>
      <c r="P45" s="15">
        <v>488</v>
      </c>
      <c r="Q45" s="15">
        <v>727</v>
      </c>
      <c r="R45" s="15">
        <v>295</v>
      </c>
      <c r="S45" s="15">
        <v>646</v>
      </c>
      <c r="T45" s="15">
        <v>207</v>
      </c>
      <c r="U45" s="15">
        <v>649</v>
      </c>
      <c r="V45" s="15">
        <v>478</v>
      </c>
      <c r="W45" s="16">
        <v>687</v>
      </c>
      <c r="X45" s="29"/>
      <c r="Y45" s="29">
        <v>22.2</v>
      </c>
      <c r="Z45" s="29">
        <v>38</v>
      </c>
      <c r="AA45" s="29"/>
      <c r="AB45" s="9"/>
    </row>
    <row r="46" spans="2:28" ht="9" customHeight="1" x14ac:dyDescent="0.2">
      <c r="B46" s="2">
        <v>5</v>
      </c>
      <c r="C46" s="2" t="s">
        <v>48</v>
      </c>
      <c r="D46" s="14">
        <v>1029</v>
      </c>
      <c r="E46" s="15">
        <v>497</v>
      </c>
      <c r="F46" s="15">
        <v>494</v>
      </c>
      <c r="G46" s="15">
        <v>974</v>
      </c>
      <c r="H46" s="20">
        <v>0</v>
      </c>
      <c r="I46" s="15">
        <v>577</v>
      </c>
      <c r="J46" s="15">
        <v>269</v>
      </c>
      <c r="K46" s="15">
        <v>818</v>
      </c>
      <c r="L46" s="15">
        <v>755</v>
      </c>
      <c r="M46" s="15">
        <v>155</v>
      </c>
      <c r="N46" s="15">
        <v>590</v>
      </c>
      <c r="O46" s="15">
        <v>894</v>
      </c>
      <c r="P46" s="15">
        <v>964</v>
      </c>
      <c r="Q46" s="15">
        <v>422</v>
      </c>
      <c r="R46" s="15">
        <v>757</v>
      </c>
      <c r="S46" s="15">
        <v>651</v>
      </c>
      <c r="T46" s="15">
        <v>954</v>
      </c>
      <c r="U46" s="15">
        <v>336</v>
      </c>
      <c r="V46" s="15">
        <v>1039</v>
      </c>
      <c r="W46" s="16">
        <v>296</v>
      </c>
      <c r="X46" s="29"/>
      <c r="Y46" s="29">
        <v>89.8</v>
      </c>
      <c r="Z46" s="29">
        <v>70.3</v>
      </c>
      <c r="AA46" s="29"/>
      <c r="AB46" s="9"/>
    </row>
    <row r="47" spans="2:28" ht="9" customHeight="1" x14ac:dyDescent="0.2">
      <c r="B47" s="2">
        <v>6</v>
      </c>
      <c r="C47" s="2" t="s">
        <v>49</v>
      </c>
      <c r="D47" s="14">
        <v>461</v>
      </c>
      <c r="E47" s="15">
        <v>461</v>
      </c>
      <c r="F47" s="15">
        <v>624</v>
      </c>
      <c r="G47" s="15">
        <v>528</v>
      </c>
      <c r="H47" s="15">
        <v>577</v>
      </c>
      <c r="I47" s="20">
        <v>0</v>
      </c>
      <c r="J47" s="15">
        <v>470</v>
      </c>
      <c r="K47" s="15">
        <v>589</v>
      </c>
      <c r="L47" s="15">
        <v>180</v>
      </c>
      <c r="M47" s="15">
        <v>424</v>
      </c>
      <c r="N47" s="15">
        <v>231</v>
      </c>
      <c r="O47" s="15">
        <v>713</v>
      </c>
      <c r="P47" s="15">
        <v>403</v>
      </c>
      <c r="Q47" s="15">
        <v>202</v>
      </c>
      <c r="R47" s="15">
        <v>234</v>
      </c>
      <c r="S47" s="15">
        <v>147</v>
      </c>
      <c r="T47" s="15">
        <v>697</v>
      </c>
      <c r="U47" s="15">
        <v>489</v>
      </c>
      <c r="V47" s="15">
        <v>477</v>
      </c>
      <c r="W47" s="16">
        <v>285</v>
      </c>
      <c r="X47" s="29"/>
      <c r="Y47" s="29">
        <v>47.2</v>
      </c>
      <c r="Z47" s="29">
        <v>81</v>
      </c>
      <c r="AA47" s="29"/>
      <c r="AB47" s="9"/>
    </row>
    <row r="48" spans="2:28" ht="9" customHeight="1" x14ac:dyDescent="0.2">
      <c r="B48" s="2">
        <v>7</v>
      </c>
      <c r="C48" s="2" t="s">
        <v>59</v>
      </c>
      <c r="D48" s="14">
        <v>896</v>
      </c>
      <c r="E48" s="15">
        <v>228</v>
      </c>
      <c r="F48" s="15">
        <v>225</v>
      </c>
      <c r="G48" s="15">
        <v>710</v>
      </c>
      <c r="H48" s="15">
        <v>269</v>
      </c>
      <c r="I48" s="15">
        <v>470</v>
      </c>
      <c r="J48" s="20">
        <v>0</v>
      </c>
      <c r="K48" s="15">
        <v>549</v>
      </c>
      <c r="L48" s="15">
        <v>629</v>
      </c>
      <c r="M48" s="15">
        <v>230</v>
      </c>
      <c r="N48" s="15">
        <v>395</v>
      </c>
      <c r="O48" s="15">
        <v>625</v>
      </c>
      <c r="P48" s="15">
        <v>831</v>
      </c>
      <c r="Q48" s="15">
        <v>422</v>
      </c>
      <c r="R48" s="15">
        <v>598</v>
      </c>
      <c r="S48" s="15">
        <v>620</v>
      </c>
      <c r="T48" s="15">
        <v>686</v>
      </c>
      <c r="U48" s="15">
        <v>67</v>
      </c>
      <c r="V48" s="15">
        <v>906</v>
      </c>
      <c r="W48" s="16">
        <v>252</v>
      </c>
      <c r="X48" s="29"/>
      <c r="Y48" s="29">
        <v>74.2</v>
      </c>
      <c r="Z48" s="29">
        <v>51.5</v>
      </c>
      <c r="AA48" s="29"/>
      <c r="AB48" s="9"/>
    </row>
    <row r="49" spans="2:28" ht="9" customHeight="1" x14ac:dyDescent="0.2">
      <c r="B49" s="2">
        <v>8</v>
      </c>
      <c r="C49" s="2" t="s">
        <v>50</v>
      </c>
      <c r="D49" s="14">
        <v>823</v>
      </c>
      <c r="E49" s="15">
        <v>324</v>
      </c>
      <c r="F49" s="15">
        <v>442</v>
      </c>
      <c r="G49" s="15">
        <v>256</v>
      </c>
      <c r="H49" s="15">
        <v>818</v>
      </c>
      <c r="I49" s="15">
        <v>589</v>
      </c>
      <c r="J49" s="15">
        <v>549</v>
      </c>
      <c r="K49" s="20">
        <v>0</v>
      </c>
      <c r="L49" s="15">
        <v>630</v>
      </c>
      <c r="M49" s="15">
        <v>747</v>
      </c>
      <c r="N49" s="15">
        <v>358</v>
      </c>
      <c r="O49" s="15">
        <v>155</v>
      </c>
      <c r="P49" s="15">
        <v>678</v>
      </c>
      <c r="Q49" s="15">
        <v>718</v>
      </c>
      <c r="R49" s="15">
        <v>436</v>
      </c>
      <c r="S49" s="15">
        <v>738</v>
      </c>
      <c r="T49" s="15">
        <v>136</v>
      </c>
      <c r="U49" s="15">
        <v>488</v>
      </c>
      <c r="V49" s="15">
        <v>723</v>
      </c>
      <c r="W49" s="16">
        <v>633</v>
      </c>
      <c r="X49" s="29"/>
      <c r="Y49" s="29">
        <v>38.799999999999997</v>
      </c>
      <c r="Z49" s="29">
        <v>24.5</v>
      </c>
      <c r="AA49" s="29"/>
      <c r="AB49" s="9"/>
    </row>
    <row r="50" spans="2:28" ht="9" customHeight="1" x14ac:dyDescent="0.2">
      <c r="B50" s="2">
        <v>9</v>
      </c>
      <c r="C50" s="2" t="s">
        <v>52</v>
      </c>
      <c r="D50" s="14">
        <v>286</v>
      </c>
      <c r="E50" s="15">
        <v>562</v>
      </c>
      <c r="F50" s="15">
        <v>725</v>
      </c>
      <c r="G50" s="15">
        <v>490</v>
      </c>
      <c r="H50" s="15">
        <v>755</v>
      </c>
      <c r="I50" s="15">
        <v>180</v>
      </c>
      <c r="J50" s="15">
        <v>629</v>
      </c>
      <c r="K50" s="15">
        <v>630</v>
      </c>
      <c r="L50" s="20">
        <v>0</v>
      </c>
      <c r="M50" s="15">
        <v>602</v>
      </c>
      <c r="N50" s="15">
        <v>320</v>
      </c>
      <c r="O50" s="15">
        <v>778</v>
      </c>
      <c r="P50" s="15">
        <v>235</v>
      </c>
      <c r="Q50" s="15">
        <v>381</v>
      </c>
      <c r="R50" s="15">
        <v>194</v>
      </c>
      <c r="S50" s="15">
        <v>229</v>
      </c>
      <c r="T50" s="15">
        <v>659</v>
      </c>
      <c r="U50" s="15">
        <v>642</v>
      </c>
      <c r="V50" s="15">
        <v>323</v>
      </c>
      <c r="W50" s="16">
        <v>463</v>
      </c>
      <c r="X50" s="29"/>
      <c r="Y50" s="29">
        <v>33.5</v>
      </c>
      <c r="Z50" s="29">
        <v>83</v>
      </c>
      <c r="AA50" s="29"/>
      <c r="AB50" s="9"/>
    </row>
    <row r="51" spans="2:28" ht="9" customHeight="1" x14ac:dyDescent="0.2">
      <c r="B51" s="2">
        <v>10</v>
      </c>
      <c r="C51" s="2" t="s">
        <v>62</v>
      </c>
      <c r="D51" s="14">
        <v>876</v>
      </c>
      <c r="E51" s="15">
        <v>451</v>
      </c>
      <c r="F51" s="15">
        <v>455</v>
      </c>
      <c r="G51" s="15">
        <v>830</v>
      </c>
      <c r="H51" s="15">
        <v>155</v>
      </c>
      <c r="I51" s="15">
        <v>424</v>
      </c>
      <c r="J51" s="15">
        <v>230</v>
      </c>
      <c r="K51" s="15">
        <v>747</v>
      </c>
      <c r="L51" s="15">
        <v>602</v>
      </c>
      <c r="M51" s="20">
        <v>0</v>
      </c>
      <c r="N51" s="15">
        <v>446</v>
      </c>
      <c r="O51" s="15">
        <v>845</v>
      </c>
      <c r="P51" s="15">
        <v>811</v>
      </c>
      <c r="Q51" s="15">
        <v>269</v>
      </c>
      <c r="R51" s="15">
        <v>604</v>
      </c>
      <c r="S51" s="15">
        <v>498</v>
      </c>
      <c r="T51" s="15">
        <v>884</v>
      </c>
      <c r="U51" s="15">
        <v>297</v>
      </c>
      <c r="V51" s="15">
        <v>886</v>
      </c>
      <c r="W51" s="16">
        <v>142</v>
      </c>
      <c r="X51" s="29"/>
      <c r="Y51" s="29">
        <v>78</v>
      </c>
      <c r="Z51" s="29">
        <v>72</v>
      </c>
      <c r="AA51" s="29"/>
      <c r="AB51" s="9"/>
    </row>
    <row r="52" spans="2:28" ht="9" customHeight="1" x14ac:dyDescent="0.2">
      <c r="B52" s="2">
        <v>11</v>
      </c>
      <c r="C52" s="2" t="s">
        <v>53</v>
      </c>
      <c r="D52" s="14">
        <v>564</v>
      </c>
      <c r="E52" s="15">
        <v>240</v>
      </c>
      <c r="F52" s="15">
        <v>403</v>
      </c>
      <c r="G52" s="15">
        <v>381</v>
      </c>
      <c r="H52" s="15">
        <v>590</v>
      </c>
      <c r="I52" s="15">
        <v>231</v>
      </c>
      <c r="J52" s="15">
        <v>395</v>
      </c>
      <c r="K52" s="15">
        <v>358</v>
      </c>
      <c r="L52" s="15">
        <v>320</v>
      </c>
      <c r="M52" s="15">
        <v>446</v>
      </c>
      <c r="N52" s="20">
        <v>0</v>
      </c>
      <c r="O52" s="15">
        <v>482</v>
      </c>
      <c r="P52" s="15">
        <v>480</v>
      </c>
      <c r="Q52" s="15">
        <v>371</v>
      </c>
      <c r="R52" s="15">
        <v>200</v>
      </c>
      <c r="S52" s="15">
        <v>380</v>
      </c>
      <c r="T52" s="15">
        <v>488</v>
      </c>
      <c r="U52" s="15">
        <v>341</v>
      </c>
      <c r="V52" s="15">
        <v>555</v>
      </c>
      <c r="W52" s="16">
        <v>303</v>
      </c>
      <c r="X52" s="29"/>
      <c r="Y52" s="29">
        <v>46.8</v>
      </c>
      <c r="Z52" s="29">
        <v>56</v>
      </c>
      <c r="AA52" s="29"/>
      <c r="AB52" s="9"/>
    </row>
    <row r="53" spans="2:28" ht="9" customHeight="1" x14ac:dyDescent="0.2">
      <c r="B53" s="2">
        <v>12</v>
      </c>
      <c r="C53" s="2" t="s">
        <v>63</v>
      </c>
      <c r="D53" s="14">
        <v>971</v>
      </c>
      <c r="E53" s="15">
        <v>416</v>
      </c>
      <c r="F53" s="15">
        <v>452</v>
      </c>
      <c r="G53" s="15">
        <v>369</v>
      </c>
      <c r="H53" s="15">
        <v>894</v>
      </c>
      <c r="I53" s="15">
        <v>713</v>
      </c>
      <c r="J53" s="15">
        <v>625</v>
      </c>
      <c r="K53" s="15">
        <v>155</v>
      </c>
      <c r="L53" s="15">
        <v>778</v>
      </c>
      <c r="M53" s="15">
        <v>845</v>
      </c>
      <c r="N53" s="15">
        <v>482</v>
      </c>
      <c r="O53" s="20">
        <v>0</v>
      </c>
      <c r="P53" s="15">
        <v>827</v>
      </c>
      <c r="Q53" s="15">
        <v>827</v>
      </c>
      <c r="R53" s="15">
        <v>584</v>
      </c>
      <c r="S53" s="15">
        <v>863</v>
      </c>
      <c r="T53" s="15">
        <v>191</v>
      </c>
      <c r="U53" s="15">
        <v>558</v>
      </c>
      <c r="V53" s="15">
        <v>850</v>
      </c>
      <c r="W53" s="16">
        <v>732</v>
      </c>
      <c r="X53" s="29"/>
      <c r="Y53" s="29">
        <v>41.5</v>
      </c>
      <c r="Z53" s="29">
        <v>10</v>
      </c>
      <c r="AA53" s="29"/>
      <c r="AB53" s="9"/>
    </row>
    <row r="54" spans="2:28" ht="9" customHeight="1" x14ac:dyDescent="0.2">
      <c r="B54" s="2">
        <v>13</v>
      </c>
      <c r="C54" s="2" t="s">
        <v>66</v>
      </c>
      <c r="D54" s="14">
        <v>144</v>
      </c>
      <c r="E54" s="15">
        <v>722</v>
      </c>
      <c r="F54" s="15">
        <v>885</v>
      </c>
      <c r="G54" s="15">
        <v>488</v>
      </c>
      <c r="H54" s="15">
        <v>964</v>
      </c>
      <c r="I54" s="15">
        <v>403</v>
      </c>
      <c r="J54" s="15">
        <v>831</v>
      </c>
      <c r="K54" s="15">
        <v>678</v>
      </c>
      <c r="L54" s="15">
        <v>235</v>
      </c>
      <c r="M54" s="15">
        <v>811</v>
      </c>
      <c r="N54" s="15">
        <v>480</v>
      </c>
      <c r="O54" s="15">
        <v>827</v>
      </c>
      <c r="P54" s="20">
        <v>0</v>
      </c>
      <c r="Q54" s="15">
        <v>604</v>
      </c>
      <c r="R54" s="15">
        <v>305</v>
      </c>
      <c r="S54" s="15">
        <v>445</v>
      </c>
      <c r="T54" s="15">
        <v>680</v>
      </c>
      <c r="U54" s="15">
        <v>823</v>
      </c>
      <c r="V54" s="15">
        <v>87</v>
      </c>
      <c r="W54" s="16">
        <v>672</v>
      </c>
      <c r="X54" s="29"/>
      <c r="Y54" s="29">
        <v>17</v>
      </c>
      <c r="Z54" s="29">
        <v>80.2</v>
      </c>
      <c r="AA54" s="29"/>
      <c r="AB54" s="9"/>
    </row>
    <row r="55" spans="2:28" ht="9" customHeight="1" x14ac:dyDescent="0.2">
      <c r="B55" s="2">
        <v>14</v>
      </c>
      <c r="C55" s="2" t="s">
        <v>54</v>
      </c>
      <c r="D55" s="14">
        <v>657</v>
      </c>
      <c r="E55" s="15">
        <v>519</v>
      </c>
      <c r="F55" s="15">
        <v>601</v>
      </c>
      <c r="G55" s="15">
        <v>727</v>
      </c>
      <c r="H55" s="15">
        <v>422</v>
      </c>
      <c r="I55" s="15">
        <v>202</v>
      </c>
      <c r="J55" s="15">
        <v>422</v>
      </c>
      <c r="K55" s="15">
        <v>718</v>
      </c>
      <c r="L55" s="15">
        <v>381</v>
      </c>
      <c r="M55" s="15">
        <v>269</v>
      </c>
      <c r="N55" s="15">
        <v>371</v>
      </c>
      <c r="O55" s="15">
        <v>827</v>
      </c>
      <c r="P55" s="15">
        <v>604</v>
      </c>
      <c r="Q55" s="20">
        <v>0</v>
      </c>
      <c r="R55" s="15">
        <v>433</v>
      </c>
      <c r="S55" s="15">
        <v>229</v>
      </c>
      <c r="T55" s="15">
        <v>854</v>
      </c>
      <c r="U55" s="15">
        <v>452</v>
      </c>
      <c r="V55" s="15">
        <v>678</v>
      </c>
      <c r="W55" s="16">
        <v>171</v>
      </c>
      <c r="X55" s="29"/>
      <c r="Y55" s="29">
        <v>61.7</v>
      </c>
      <c r="Z55" s="29">
        <v>85.5</v>
      </c>
      <c r="AA55" s="29"/>
      <c r="AB55" s="9"/>
    </row>
    <row r="56" spans="2:28" ht="9" customHeight="1" x14ac:dyDescent="0.2">
      <c r="B56" s="2">
        <v>15</v>
      </c>
      <c r="C56" s="2" t="s">
        <v>55</v>
      </c>
      <c r="D56" s="14">
        <v>426</v>
      </c>
      <c r="E56" s="15">
        <v>438</v>
      </c>
      <c r="F56" s="15">
        <v>601</v>
      </c>
      <c r="G56" s="15">
        <v>295</v>
      </c>
      <c r="H56" s="15">
        <v>757</v>
      </c>
      <c r="I56" s="15">
        <v>234</v>
      </c>
      <c r="J56" s="15">
        <v>598</v>
      </c>
      <c r="K56" s="15">
        <v>436</v>
      </c>
      <c r="L56" s="15">
        <v>194</v>
      </c>
      <c r="M56" s="15">
        <v>604</v>
      </c>
      <c r="N56" s="15">
        <v>200</v>
      </c>
      <c r="O56" s="15">
        <v>584</v>
      </c>
      <c r="P56" s="15">
        <v>305</v>
      </c>
      <c r="Q56" s="15">
        <v>433</v>
      </c>
      <c r="R56" s="20">
        <v>0</v>
      </c>
      <c r="S56" s="15">
        <v>352</v>
      </c>
      <c r="T56" s="15">
        <v>465</v>
      </c>
      <c r="U56" s="15">
        <v>544</v>
      </c>
      <c r="V56" s="15">
        <v>380</v>
      </c>
      <c r="W56" s="16">
        <v>465</v>
      </c>
      <c r="X56" s="29"/>
      <c r="Y56" s="29">
        <v>32.6</v>
      </c>
      <c r="Z56" s="29">
        <v>63</v>
      </c>
      <c r="AA56" s="29"/>
      <c r="AB56" s="9"/>
    </row>
    <row r="57" spans="2:28" ht="9" customHeight="1" x14ac:dyDescent="0.2">
      <c r="B57" s="2">
        <v>16</v>
      </c>
      <c r="C57" s="2" t="s">
        <v>64</v>
      </c>
      <c r="D57" s="14">
        <v>435</v>
      </c>
      <c r="E57" s="15">
        <v>610</v>
      </c>
      <c r="F57" s="15">
        <v>773</v>
      </c>
      <c r="G57" s="15">
        <v>646</v>
      </c>
      <c r="H57" s="15">
        <v>651</v>
      </c>
      <c r="I57" s="15">
        <v>147</v>
      </c>
      <c r="J57" s="15">
        <v>620</v>
      </c>
      <c r="K57" s="15">
        <v>738</v>
      </c>
      <c r="L57" s="15">
        <v>229</v>
      </c>
      <c r="M57" s="15">
        <v>498</v>
      </c>
      <c r="N57" s="15">
        <v>380</v>
      </c>
      <c r="O57" s="15">
        <v>863</v>
      </c>
      <c r="P57" s="15">
        <v>445</v>
      </c>
      <c r="Q57" s="15">
        <v>229</v>
      </c>
      <c r="R57" s="15">
        <v>352</v>
      </c>
      <c r="S57" s="20">
        <v>0</v>
      </c>
      <c r="T57" s="15">
        <v>815</v>
      </c>
      <c r="U57" s="15">
        <v>639</v>
      </c>
      <c r="V57" s="15">
        <v>528</v>
      </c>
      <c r="W57" s="16">
        <v>371</v>
      </c>
      <c r="X57" s="29"/>
      <c r="Y57" s="29">
        <v>46.4</v>
      </c>
      <c r="Z57" s="29">
        <v>93</v>
      </c>
      <c r="AA57" s="29"/>
      <c r="AB57" s="9"/>
    </row>
    <row r="58" spans="2:28" ht="9" customHeight="1" x14ac:dyDescent="0.2">
      <c r="B58" s="2">
        <v>17</v>
      </c>
      <c r="C58" s="2" t="s">
        <v>56</v>
      </c>
      <c r="D58" s="14">
        <v>825</v>
      </c>
      <c r="E58" s="15">
        <v>460</v>
      </c>
      <c r="F58" s="15">
        <v>569</v>
      </c>
      <c r="G58" s="15">
        <v>207</v>
      </c>
      <c r="H58" s="15">
        <v>954</v>
      </c>
      <c r="I58" s="15">
        <v>697</v>
      </c>
      <c r="J58" s="15">
        <v>686</v>
      </c>
      <c r="K58" s="15">
        <v>136</v>
      </c>
      <c r="L58" s="15">
        <v>659</v>
      </c>
      <c r="M58" s="15">
        <v>884</v>
      </c>
      <c r="N58" s="15">
        <v>488</v>
      </c>
      <c r="O58" s="15">
        <v>191</v>
      </c>
      <c r="P58" s="15">
        <v>680</v>
      </c>
      <c r="Q58" s="15">
        <v>854</v>
      </c>
      <c r="R58" s="15">
        <v>465</v>
      </c>
      <c r="S58" s="15">
        <v>815</v>
      </c>
      <c r="T58" s="20">
        <v>0</v>
      </c>
      <c r="U58" s="15">
        <v>625</v>
      </c>
      <c r="V58" s="15">
        <v>689</v>
      </c>
      <c r="W58" s="16">
        <v>770</v>
      </c>
      <c r="X58" s="29"/>
      <c r="Y58" s="29">
        <v>29.5</v>
      </c>
      <c r="Z58" s="29">
        <v>18.7</v>
      </c>
      <c r="AA58" s="29"/>
      <c r="AB58" s="9"/>
    </row>
    <row r="59" spans="2:28" ht="9" customHeight="1" x14ac:dyDescent="0.2">
      <c r="B59" s="2">
        <v>18</v>
      </c>
      <c r="C59" s="2" t="s">
        <v>57</v>
      </c>
      <c r="D59" s="14">
        <v>908</v>
      </c>
      <c r="E59" s="15">
        <v>167</v>
      </c>
      <c r="F59" s="15">
        <v>158</v>
      </c>
      <c r="G59" s="15">
        <v>649</v>
      </c>
      <c r="H59" s="15">
        <v>336</v>
      </c>
      <c r="I59" s="15">
        <v>489</v>
      </c>
      <c r="J59" s="15">
        <v>67</v>
      </c>
      <c r="K59" s="15">
        <v>488</v>
      </c>
      <c r="L59" s="15">
        <v>642</v>
      </c>
      <c r="M59" s="15">
        <v>297</v>
      </c>
      <c r="N59" s="15">
        <v>341</v>
      </c>
      <c r="O59" s="15">
        <v>558</v>
      </c>
      <c r="P59" s="15">
        <v>823</v>
      </c>
      <c r="Q59" s="15">
        <v>452</v>
      </c>
      <c r="R59" s="15">
        <v>544</v>
      </c>
      <c r="S59" s="15">
        <v>639</v>
      </c>
      <c r="T59" s="15">
        <v>625</v>
      </c>
      <c r="U59" s="20">
        <v>0</v>
      </c>
      <c r="V59" s="15">
        <v>898</v>
      </c>
      <c r="W59" s="16">
        <v>306</v>
      </c>
      <c r="X59" s="29"/>
      <c r="Y59" s="29">
        <v>71.7</v>
      </c>
      <c r="Z59" s="29">
        <v>44.8</v>
      </c>
      <c r="AA59" s="29"/>
      <c r="AB59" s="9"/>
    </row>
    <row r="60" spans="2:28" ht="9" customHeight="1" x14ac:dyDescent="0.2">
      <c r="B60" s="2">
        <v>19</v>
      </c>
      <c r="C60" s="2" t="s">
        <v>65</v>
      </c>
      <c r="D60" s="14">
        <v>141</v>
      </c>
      <c r="E60" s="15">
        <v>796</v>
      </c>
      <c r="F60" s="15">
        <v>959</v>
      </c>
      <c r="G60" s="15">
        <v>478</v>
      </c>
      <c r="H60" s="15">
        <v>1039</v>
      </c>
      <c r="I60" s="15">
        <v>477</v>
      </c>
      <c r="J60" s="15">
        <v>906</v>
      </c>
      <c r="K60" s="15">
        <v>723</v>
      </c>
      <c r="L60" s="15">
        <v>323</v>
      </c>
      <c r="M60" s="15">
        <v>886</v>
      </c>
      <c r="N60" s="15">
        <v>555</v>
      </c>
      <c r="O60" s="15">
        <v>850</v>
      </c>
      <c r="P60" s="15">
        <v>87</v>
      </c>
      <c r="Q60" s="15">
        <v>678</v>
      </c>
      <c r="R60" s="15">
        <v>380</v>
      </c>
      <c r="S60" s="15">
        <v>528</v>
      </c>
      <c r="T60" s="15">
        <v>689</v>
      </c>
      <c r="U60" s="15">
        <v>898</v>
      </c>
      <c r="V60" s="20">
        <v>0</v>
      </c>
      <c r="W60" s="16">
        <v>747</v>
      </c>
      <c r="X60" s="29"/>
      <c r="Y60" s="29">
        <v>11</v>
      </c>
      <c r="Z60" s="29">
        <v>79</v>
      </c>
      <c r="AA60" s="29"/>
      <c r="AB60" s="9"/>
    </row>
    <row r="61" spans="2:28" ht="9" customHeight="1" x14ac:dyDescent="0.2">
      <c r="B61" s="2">
        <v>20</v>
      </c>
      <c r="C61" s="2" t="s">
        <v>58</v>
      </c>
      <c r="D61" s="17">
        <v>737</v>
      </c>
      <c r="E61" s="18">
        <v>379</v>
      </c>
      <c r="F61" s="18">
        <v>456</v>
      </c>
      <c r="G61" s="18">
        <v>687</v>
      </c>
      <c r="H61" s="18">
        <v>296</v>
      </c>
      <c r="I61" s="18">
        <v>285</v>
      </c>
      <c r="J61" s="18">
        <v>252</v>
      </c>
      <c r="K61" s="18">
        <v>633</v>
      </c>
      <c r="L61" s="18">
        <v>463</v>
      </c>
      <c r="M61" s="18">
        <v>142</v>
      </c>
      <c r="N61" s="18">
        <v>303</v>
      </c>
      <c r="O61" s="18">
        <v>732</v>
      </c>
      <c r="P61" s="18">
        <v>672</v>
      </c>
      <c r="Q61" s="18">
        <v>171</v>
      </c>
      <c r="R61" s="18">
        <v>465</v>
      </c>
      <c r="S61" s="18">
        <v>371</v>
      </c>
      <c r="T61" s="18">
        <v>770</v>
      </c>
      <c r="U61" s="18">
        <v>306</v>
      </c>
      <c r="V61" s="18">
        <v>747</v>
      </c>
      <c r="W61" s="21">
        <v>0</v>
      </c>
      <c r="X61" s="29"/>
      <c r="Y61" s="29">
        <v>67.3</v>
      </c>
      <c r="Z61" s="29">
        <v>71.5</v>
      </c>
      <c r="AA61" s="29"/>
      <c r="AB61" s="9"/>
    </row>
  </sheetData>
  <phoneticPr fontId="7" type="noConversion"/>
  <printOptions gridLinesSet="0"/>
  <pageMargins left="0.47244094488188981" right="0.47244094488188981" top="0.98425196850393704" bottom="0.98425196850393704" header="0.51181102362204722" footer="0.51181102362204722"/>
  <pageSetup paperSize="9" orientation="portrait" horizontalDpi="1200" verticalDpi="1200" r:id="rId1"/>
  <headerFooter alignWithMargins="0">
    <oddHeader>&amp;F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TSP</vt:lpstr>
      <vt:lpstr>ciudades</vt:lpstr>
      <vt:lpstr>coordenadas</vt:lpstr>
      <vt:lpstr>distancias</vt:lpstr>
      <vt:lpstr>Orden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</dc:creator>
  <cp:lastModifiedBy>LUIS ALBERTO ÁLVAREZ ZAVALETA</cp:lastModifiedBy>
  <cp:lastPrinted>2002-06-19T10:04:46Z</cp:lastPrinted>
  <dcterms:created xsi:type="dcterms:W3CDTF">1998-01-14T21:36:09Z</dcterms:created>
  <dcterms:modified xsi:type="dcterms:W3CDTF">2023-10-18T19:00:58Z</dcterms:modified>
</cp:coreProperties>
</file>