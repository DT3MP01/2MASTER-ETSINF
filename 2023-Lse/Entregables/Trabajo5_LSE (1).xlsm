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EsteLibro"/>
  <mc:AlternateContent xmlns:mc="http://schemas.openxmlformats.org/markup-compatibility/2006">
    <mc:Choice Requires="x15">
      <x15ac:absPath xmlns:x15ac="http://schemas.microsoft.com/office/spreadsheetml/2010/11/ac" url="E:\Users\alber\Documents\UPV\LSE\"/>
    </mc:Choice>
  </mc:AlternateContent>
  <xr:revisionPtr revIDLastSave="0" documentId="8_{5A725C93-C5D3-4FFD-80D8-8E7908FAAF2D}" xr6:coauthVersionLast="47" xr6:coauthVersionMax="47" xr10:uidLastSave="{00000000-0000-0000-0000-000000000000}"/>
  <bookViews>
    <workbookView xWindow="-120" yWindow="-120" windowWidth="29040" windowHeight="15840" firstSheet="2" activeTab="2" xr2:uid="{00000000-000D-0000-FFFF-FFFF00000000}"/>
  </bookViews>
  <sheets>
    <sheet name="Module1" sheetId="1" state="veryHidden" r:id=""/>
    <sheet name="ev_HiddenInfo" sheetId="2" state="veryHidden" r:id="rId1"/>
    <sheet name="Job Schedule" sheetId="4" r:id="rId2"/>
  </sheets>
  <definedNames>
    <definedName name="_Scenario_new_change" localSheetId="2" hidden="1">'Job Schedule'!$H$10:$H$14</definedName>
    <definedName name="_scenchg_count" localSheetId="2" hidden="1">25</definedName>
    <definedName name="_scenchg1" localSheetId="2" hidden="1">'Job Schedule'!$H$10</definedName>
    <definedName name="_scenchg10" localSheetId="2" hidden="1">'Job Schedule'!#REF!</definedName>
    <definedName name="_scenchg11" localSheetId="2" hidden="1">'Job Schedule'!#REF!</definedName>
    <definedName name="_scenchg12" localSheetId="2" hidden="1">'Job Schedule'!#REF!</definedName>
    <definedName name="_scenchg13" localSheetId="2" hidden="1">'Job Schedule'!#REF!</definedName>
    <definedName name="_scenchg14" localSheetId="2" hidden="1">'Job Schedule'!#REF!</definedName>
    <definedName name="_scenchg15" localSheetId="2" hidden="1">'Job Schedule'!#REF!</definedName>
    <definedName name="_scenchg16" localSheetId="2" hidden="1">'Job Schedule'!#REF!</definedName>
    <definedName name="_scenchg17" localSheetId="2" hidden="1">'Job Schedule'!#REF!</definedName>
    <definedName name="_scenchg18" localSheetId="2" hidden="1">'Job Schedule'!#REF!</definedName>
    <definedName name="_scenchg19" localSheetId="2" hidden="1">'Job Schedule'!#REF!</definedName>
    <definedName name="_scenchg2" localSheetId="2" hidden="1">'Job Schedule'!$H$11</definedName>
    <definedName name="_scenchg20" localSheetId="2" hidden="1">'Job Schedule'!#REF!</definedName>
    <definedName name="_scenchg21" localSheetId="2" hidden="1">'Job Schedule'!#REF!</definedName>
    <definedName name="_scenchg22" localSheetId="2" hidden="1">'Job Schedule'!#REF!</definedName>
    <definedName name="_scenchg23" localSheetId="2" hidden="1">'Job Schedule'!#REF!</definedName>
    <definedName name="_scenchg24" localSheetId="2" hidden="1">'Job Schedule'!#REF!</definedName>
    <definedName name="_scenchg25" localSheetId="2" hidden="1">'Job Schedule'!#REF!</definedName>
    <definedName name="_scenchg3" localSheetId="2" hidden="1">'Job Schedule'!$H$12</definedName>
    <definedName name="_scenchg4" localSheetId="2" hidden="1">'Job Schedule'!$H$13</definedName>
    <definedName name="_scenchg5" localSheetId="2" hidden="1">'Job Schedule'!$H$14</definedName>
    <definedName name="_scenchg6" localSheetId="2" hidden="1">'Job Schedule'!#REF!</definedName>
    <definedName name="_scenchg7" localSheetId="2" hidden="1">'Job Schedule'!#REF!</definedName>
    <definedName name="_scenchg8" localSheetId="2" hidden="1">'Job Schedule'!#REF!</definedName>
    <definedName name="_scenchg9" localSheetId="2" hidden="1">'Job Schedule'!#REF!</definedName>
    <definedName name="completion">'Job Schedule'!$N$10:$N$14,'Job Schedule'!$P$10:$P$14,'Job Schedule'!$R$10:$R$14,'Job Schedule'!$T$10:$T$14,'Job Schedule'!$V$10:$V$14</definedName>
    <definedName name="job_data">'Job Schedule'!$A$10:$D$14</definedName>
    <definedName name="M1_Sijk">'Job Schedule'!$B$20:$F$24</definedName>
    <definedName name="M2_Sijk">'Job Schedule'!$B$28:$F$32</definedName>
    <definedName name="M3_Sijk">'Job Schedule'!$B$36:$F$40</definedName>
    <definedName name="Mach_Assign">'Job Schedule'!$I$10:$I$14</definedName>
    <definedName name="machine_data">'Job Schedule'!$M$10:$V$14</definedName>
    <definedName name="processing_times">'Job Schedule'!$B$10:$F$14</definedName>
    <definedName name="scen_change" localSheetId="2" hidden="1">'Job Schedule'!$H$10:$H$14</definedName>
    <definedName name="scen_date1" localSheetId="2" hidden="1">34255.4405555556</definedName>
    <definedName name="scen_date2" localSheetId="2" hidden="1">34255.7743055556</definedName>
    <definedName name="scen_name1" localSheetId="2" hidden="1">"Standard setup; order=1-25"</definedName>
    <definedName name="scen_name2" localSheetId="2" hidden="1">"Cmax-366, pop=150,mu=.3"</definedName>
    <definedName name="scen_num" localSheetId="2" hidden="1">2</definedName>
    <definedName name="scen_user1" localSheetId="2" hidden="1">"Jim Davern"</definedName>
    <definedName name="scen_user2" localSheetId="2" hidden="1">"Jim Davern"</definedName>
    <definedName name="scen_value0" localSheetId="2" hidden="1">{"1";"2";"3";"4";"5";"6";"7";"8";"9";"10";"11";"12";"13";"14";"15";"16";"17";"18";"19";"20";"21";"22";"23";"24";"25"}</definedName>
    <definedName name="scen_value1" localSheetId="2" hidden="1">{"1";"2";"3";"4";"5";"6";"7";"8";"9";"10";"11";"12";"13";"14";"15";"16";"17";"18";"19";"20";"21";"22";"23";"24";"25"}</definedName>
    <definedName name="scen_value2" localSheetId="2" hidden="1">{"2";"25";"6";"13";"11";"10";"8";"19";"17";"12";"4";"14";"20";"3";"21";"16";"9";"5";"24";"7";"15";"23";"18";"22";"1"}</definedName>
    <definedName name="solver_adj" localSheetId="2" hidden="1">'Job Schedule'!$I$10:$I$14,'Job Schedule'!$H$10:$H$14</definedName>
    <definedName name="solver_cvg" localSheetId="2" hidden="1">0.0001</definedName>
    <definedName name="solver_drv" localSheetId="2" hidden="1">2</definedName>
    <definedName name="solver_eng" localSheetId="2" hidden="1">3</definedName>
    <definedName name="solver_est" localSheetId="2" hidden="1">1</definedName>
    <definedName name="solver_itr" localSheetId="2" hidden="1">2147483647</definedName>
    <definedName name="solver_lhs1" localSheetId="2" hidden="1">'Job Schedule'!$I$10:$I$14</definedName>
    <definedName name="solver_lhs2" localSheetId="2" hidden="1">'Job Schedule'!$I$10:$I$14</definedName>
    <definedName name="solver_lhs3" localSheetId="2" hidden="1">'Job Schedule'!$I$10:$I$14</definedName>
    <definedName name="solver_lhs4" localSheetId="2" hidden="1">'Job Schedule'!$H$10:$H$14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4</definedName>
    <definedName name="solver_nwt" localSheetId="2" hidden="1">1</definedName>
    <definedName name="solver_opt" localSheetId="2" hidden="1">'Job Schedule'!$D$5</definedName>
    <definedName name="solver_pre" localSheetId="2" hidden="1">0.000001</definedName>
    <definedName name="solver_rbv" localSheetId="2" hidden="1">2</definedName>
    <definedName name="solver_rel1" localSheetId="2" hidden="1">1</definedName>
    <definedName name="solver_rel2" localSheetId="2" hidden="1">4</definedName>
    <definedName name="solver_rel3" localSheetId="2" hidden="1">3</definedName>
    <definedName name="solver_rel4" localSheetId="2" hidden="1">6</definedName>
    <definedName name="solver_rhs1" localSheetId="2" hidden="1">3</definedName>
    <definedName name="solver_rhs2" localSheetId="2" hidden="1">"entero"</definedName>
    <definedName name="solver_rhs3" localSheetId="2" hidden="1">1</definedName>
    <definedName name="solver_rhs4" localSheetId="2" hidden="1">"Todos diferentes"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30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  <definedName name="start">'Job Schedule'!$M$10:$M$14,'Job Schedule'!$O$10:$O$14,'Job Schedule'!$Q$10:$Q$14,'Job Schedule'!$S$10:$S$14,'Job Schedule'!$U$10:$U$14</definedName>
    <definedName name="TaskOrder">'Job Schedule'!$H$10:$H$14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6" i="2" l="1"/>
  <c r="J10" i="4"/>
  <c r="J14" i="4"/>
  <c r="J13" i="4"/>
  <c r="J12" i="4"/>
  <c r="J11" i="4"/>
  <c r="N10" i="4" l="1"/>
  <c r="M11" i="4" l="1" a="1"/>
  <c r="M11" i="4" s="1"/>
  <c r="N11" i="4" s="1"/>
  <c r="M12" i="4" l="1" a="1"/>
  <c r="M12" i="4" s="1"/>
  <c r="N12" i="4" s="1"/>
  <c r="M13" i="4" s="1" a="1"/>
  <c r="M13" i="4" s="1"/>
  <c r="N13" i="4" s="1"/>
  <c r="M14" i="4" s="1" a="1"/>
  <c r="M14" i="4" s="1"/>
  <c r="R10" i="4"/>
  <c r="Q11" i="4" s="1" a="1"/>
  <c r="Q11" i="4" s="1"/>
  <c r="R11" i="4" s="1"/>
  <c r="N14" i="4" l="1"/>
  <c r="N15" i="4" s="1"/>
  <c r="Q12" i="4" a="1"/>
  <c r="Q12" i="4" s="1"/>
  <c r="R12" i="4" s="1"/>
  <c r="Q13" i="4" l="1" a="1"/>
  <c r="Q13" i="4" s="1"/>
  <c r="R13" i="4" s="1"/>
  <c r="Q14" i="4" l="1" a="1"/>
  <c r="Q14" i="4" s="1"/>
  <c r="R14" i="4" s="1"/>
  <c r="R15" i="4" s="1"/>
  <c r="P10" i="4"/>
  <c r="O11" i="4" s="1" a="1"/>
  <c r="O11" i="4" s="1"/>
  <c r="P11" i="4" s="1"/>
  <c r="O12" i="4" l="1" a="1"/>
  <c r="O12" i="4" s="1"/>
  <c r="P12" i="4" s="1"/>
  <c r="O13" i="4" s="1" a="1"/>
  <c r="O13" i="4" s="1"/>
  <c r="P13" i="4" s="1"/>
  <c r="O14" i="4" l="1" a="1"/>
  <c r="O14" i="4" s="1"/>
  <c r="P14" i="4" s="1"/>
  <c r="P15" i="4" s="1"/>
  <c r="D5" i="4" s="1"/>
  <c r="B1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<sst xmlns="http://schemas.openxmlformats.org/spreadsheetml/2006/main" count="132" uniqueCount="100">
  <si>
    <t>MACROS</t>
  </si>
  <si>
    <t>Start</t>
  </si>
  <si>
    <t>#Ranges</t>
  </si>
  <si>
    <t>Min</t>
  </si>
  <si>
    <t>Max</t>
  </si>
  <si>
    <t>Flags</t>
  </si>
  <si>
    <t>Formula</t>
  </si>
  <si>
    <t>Description</t>
  </si>
  <si>
    <t>Makespan (Cmax) =</t>
  </si>
  <si>
    <t>UNUSED</t>
  </si>
  <si>
    <t>Completion</t>
  </si>
  <si>
    <t>GENETIC ALGORITHM ORDER</t>
  </si>
  <si>
    <t>Datos de tareas</t>
  </si>
  <si>
    <t>Job ID</t>
  </si>
  <si>
    <t>Processing Times</t>
  </si>
  <si>
    <t>Assigned</t>
  </si>
  <si>
    <t>Machine</t>
  </si>
  <si>
    <t>Proc</t>
  </si>
  <si>
    <t>Time</t>
  </si>
  <si>
    <t>Method + #Operators</t>
  </si>
  <si>
    <t>Mutation Rate</t>
  </si>
  <si>
    <t>Crossover Rate</t>
  </si>
  <si>
    <t># Time Blocks/All Groups Must Be Present</t>
  </si>
  <si>
    <t>Constraint Range</t>
  </si>
  <si>
    <t>Adj. Range</t>
  </si>
  <si>
    <t>Min Val or Range</t>
  </si>
  <si>
    <t>Max Val Or Range</t>
  </si>
  <si>
    <t>HARD CONSTRAINT DEV</t>
  </si>
  <si>
    <t>Type (Hard/Soft)</t>
  </si>
  <si>
    <t>Entry Mode</t>
  </si>
  <si>
    <t>Left Val Or Range</t>
  </si>
  <si>
    <t>Left Operator</t>
  </si>
  <si>
    <t>Constrained Cells</t>
  </si>
  <si>
    <t>Right Operator</t>
  </si>
  <si>
    <t>Right Val Or Range</t>
  </si>
  <si>
    <t>Penalty Function</t>
  </si>
  <si>
    <t>RO Eval Time (Iter/Sim)</t>
  </si>
  <si>
    <t>RO Statistic to Constrain</t>
  </si>
  <si>
    <t>RO Statistic Parameter</t>
  </si>
  <si>
    <t>Formula Conversion Cell (not used in v5)</t>
  </si>
  <si>
    <t>Number Formatting Cell (introduced in v5)</t>
  </si>
  <si>
    <t>Out. Stats</t>
  </si>
  <si>
    <t>Mean</t>
  </si>
  <si>
    <t>Std. Dev.</t>
  </si>
  <si>
    <t>RISKOpt Tag</t>
  </si>
  <si>
    <t># Chromosomes</t>
  </si>
  <si>
    <t># Constraints</t>
  </si>
  <si>
    <t>Compatibility with Old Versions (4 trips pre-v5 versions)</t>
  </si>
  <si>
    <t>Creation Version</t>
  </si>
  <si>
    <t>Required Version</t>
  </si>
  <si>
    <t>Recommended Version</t>
  </si>
  <si>
    <t>Last Modified by Version</t>
  </si>
  <si>
    <t>Constraint Solver, number of Latin Hypercube stratifications, for reproducing results with Actual Convergence</t>
  </si>
  <si>
    <t>Constraint Solver, total of adjustable cell values, to only pass number of stratifications if model hasn't changed</t>
  </si>
  <si>
    <t>Goal (Cell, Statistic, Parameter), E1: RO Formula to Optimize</t>
  </si>
  <si>
    <t>Goal (Type, Target Value)</t>
  </si>
  <si>
    <t>Population Size</t>
  </si>
  <si>
    <t>Seed (Is Auto, Value)</t>
  </si>
  <si>
    <t>Same Seed Each Simulation</t>
  </si>
  <si>
    <t>Sampling Type</t>
  </si>
  <si>
    <t>Stop on Errors (before v5: Pause on Errors)</t>
  </si>
  <si>
    <t>Trial Count Stopping (enabled, trial count)</t>
  </si>
  <si>
    <t>Formula Stopping (enabled, formula)</t>
  </si>
  <si>
    <t>Timespan Stopping (enabled, trial count)</t>
  </si>
  <si>
    <t>Progress Stopping (enabled, trial count, max % change, change is percent)</t>
  </si>
  <si>
    <t>Sim. Stopping Mode, Tolerance</t>
  </si>
  <si>
    <t>#Iterations (Sim Stopping)</t>
  </si>
  <si>
    <t>Keep Trial-by-Trial Log (if cell has anything other than False consider True, since Evolver 4 didn't have this setting)</t>
  </si>
  <si>
    <t>Minimize Excel on Startup</t>
  </si>
  <si>
    <t>Show Excel Recalcs (replaces "Update Display" used before v5)</t>
  </si>
  <si>
    <t>Ev4/RO1: Graph Progress</t>
  </si>
  <si>
    <t>Ev4/RO1: Update Display (replaced by Show Excel Recalcs in v5)</t>
  </si>
  <si>
    <t>Start (enabled, macro)</t>
  </si>
  <si>
    <t>Before Recalc (enabled, macro)</t>
  </si>
  <si>
    <t>After Recalc (enabled, macro)</t>
  </si>
  <si>
    <t>After Storage (enabled, macro)</t>
  </si>
  <si>
    <t>Finish (enabled, macro)</t>
  </si>
  <si>
    <t>Macro Before Simulation (enabled, macro)</t>
  </si>
  <si>
    <t>Macro After Simulation (enabled, macro)</t>
  </si>
  <si>
    <t>5.7.1</t>
  </si>
  <si>
    <t>DEFAULT PARENT SELECTION</t>
  </si>
  <si>
    <t>DEFAULT MUTATION</t>
  </si>
  <si>
    <t>DEFAULT CROSSOVER</t>
  </si>
  <si>
    <t>DEFAULT BACKTRACK</t>
  </si>
  <si>
    <t>GROUPING_x0001_4</t>
  </si>
  <si>
    <t/>
  </si>
  <si>
    <t>DrawSchedule()</t>
  </si>
  <si>
    <t>S1jk</t>
  </si>
  <si>
    <t>J1</t>
  </si>
  <si>
    <t>J2</t>
  </si>
  <si>
    <t>J3</t>
  </si>
  <si>
    <t>J4</t>
  </si>
  <si>
    <t>J5</t>
  </si>
  <si>
    <t>S2jk</t>
  </si>
  <si>
    <t>S3jk</t>
  </si>
  <si>
    <t>Secuenciación en taller de máquinas paralelas no relacionadas con tiempos de cambio entre proceso (R//Cmax)</t>
  </si>
  <si>
    <t>M1</t>
  </si>
  <si>
    <t>M2</t>
  </si>
  <si>
    <t>M3</t>
  </si>
  <si>
    <t>Maquinas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</si>
</sst>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0"/>
      <name val="MS Sans Serif"/>
    </font>
    <font>
      <b/>
      <sz val="10"/>
      <name val="MS Sans Serif"/>
    </font>
    <font>
      <b/>
      <sz val="9"/>
      <name val="MS Sans Serif"/>
      <family val="2"/>
    </font>
    <font>
      <sz val="9"/>
      <name val="MS Sans Serif"/>
      <family val="2"/>
    </font>
    <font>
      <b/>
      <sz val="12"/>
      <name val="MS Sans Serif"/>
      <family val="2"/>
    </font>
    <font>
      <sz val="12"/>
      <name val="MS Sans Serif"/>
      <family val="2"/>
    </font>
    <font>
      <b/>
      <sz val="7"/>
      <name val="MS Sans Serif"/>
      <family val="2"/>
    </font>
    <font>
      <sz val="8"/>
      <name val="MS Sans Serif"/>
      <family val="2"/>
    </font>
    <font>
      <sz val="8.5"/>
      <name val="MS Sans Serif"/>
      <family val="2"/>
    </font>
    <font>
      <b/>
      <sz val="8.5"/>
      <name val="MS Sans Serif"/>
      <family val="2"/>
    </font>
    <font>
      <sz val="9"/>
      <name val="MS Sans Serif"/>
      <family val="2"/>
    </font>
    <font>
      <b/>
      <sz val="9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b/>
      <sz val="10"/>
      <name val="MS Sans Serif"/>
      <family val="2"/>
    </font>
    <font>
      <sz val="10"/>
      <name val="MS Sans Serif"/>
      <family val="2"/>
    </font>
    <font>
      <b/>
      <sz val="14"/>
      <color indexed="18"/>
      <name val="Arial"/>
      <family val="2"/>
    </font>
    <font>
      <b/>
      <sz val="7"/>
      <name val="MS Sans Serif"/>
      <family val="2"/>
    </font>
    <font>
      <b/>
      <sz val="9"/>
      <name val="MS Sans Serif"/>
      <family val="2"/>
    </font>
    <font>
      <sz val="12"/>
      <name val="Calibri"/>
      <family val="2"/>
    </font>
    <font>
      <sz val="11"/>
      <color rgb="FF000000"/>
      <name val="Calibri"/>
      <family val="2"/>
    </font>
    <font>
      <b/>
      <sz val="11"/>
      <name val="Courier New"/>
      <family val="3"/>
    </font>
    <font>
      <b/>
      <sz val="10"/>
      <color rgb="FF000000"/>
      <name val="MS Sans Serif"/>
    </font>
  </fonts>
  <fills count="5">
    <fill>
      <patternFill patternType="none"/>
    </fill>
    <fill>
      <patternFill patternType="gray125"/>
    </fill>
    <fill>
      <patternFill patternType="solid">
        <fgColor rgb="FFFF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Continuous"/>
    </xf>
    <xf numFmtId="0" fontId="5" fillId="0" borderId="0" xfId="0" applyFont="1"/>
    <xf numFmtId="0" fontId="4" fillId="0" borderId="0" xfId="0" applyFont="1"/>
    <xf numFmtId="0" fontId="3" fillId="0" borderId="1" xfId="0" applyFont="1" applyBorder="1" applyAlignment="1">
      <alignment horizontal="center"/>
    </xf>
    <xf numFmtId="0" fontId="8" fillId="0" borderId="0" xfId="0" applyFont="1"/>
    <xf numFmtId="0" fontId="9" fillId="0" borderId="0" xfId="0" applyFont="1" applyAlignment="1">
      <alignment horizontal="centerContinuous"/>
    </xf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 applyAlignment="1">
      <alignment horizontal="center"/>
    </xf>
    <xf numFmtId="0" fontId="2" fillId="0" borderId="4" xfId="0" quotePrefix="1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9" fillId="0" borderId="0" xfId="0" applyFont="1" applyAlignment="1">
      <alignment horizontal="left"/>
    </xf>
    <xf numFmtId="0" fontId="11" fillId="0" borderId="0" xfId="0" applyFont="1" applyAlignment="1">
      <alignment horizontal="right"/>
    </xf>
    <xf numFmtId="0" fontId="12" fillId="0" borderId="9" xfId="0" applyFont="1" applyBorder="1" applyAlignment="1">
      <alignment horizontal="center"/>
    </xf>
    <xf numFmtId="0" fontId="15" fillId="0" borderId="0" xfId="0" applyFont="1"/>
    <xf numFmtId="0" fontId="14" fillId="0" borderId="0" xfId="0" applyFont="1"/>
    <xf numFmtId="0" fontId="15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10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8" fillId="0" borderId="3" xfId="0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4" fillId="0" borderId="0" xfId="0" applyFont="1" applyAlignment="1">
      <alignment horizontal="centerContinuous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3" fillId="0" borderId="11" xfId="0" applyFont="1" applyBorder="1" applyAlignment="1">
      <alignment horizontal="left"/>
    </xf>
    <xf numFmtId="0" fontId="0" fillId="2" borderId="0" xfId="0" applyFill="1" applyAlignment="1">
      <alignment horizontal="left"/>
    </xf>
    <xf numFmtId="0" fontId="13" fillId="2" borderId="11" xfId="0" applyFont="1" applyFill="1" applyBorder="1" applyAlignment="1">
      <alignment horizontal="left"/>
    </xf>
    <xf numFmtId="0" fontId="0" fillId="3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2" borderId="0" xfId="0" quotePrefix="1" applyFill="1" applyAlignment="1">
      <alignment horizontal="left"/>
    </xf>
    <xf numFmtId="0" fontId="0" fillId="0" borderId="0" xfId="0" quotePrefix="1" applyAlignment="1">
      <alignment horizontal="left"/>
    </xf>
    <xf numFmtId="0" fontId="2" fillId="0" borderId="5" xfId="0" applyFont="1" applyBorder="1" applyAlignment="1">
      <alignment horizontal="center"/>
    </xf>
    <xf numFmtId="0" fontId="6" fillId="0" borderId="0" xfId="0" applyFont="1" applyAlignment="1">
      <alignment horizontal="centerContinuous"/>
    </xf>
    <xf numFmtId="0" fontId="6" fillId="0" borderId="0" xfId="0" applyFont="1" applyAlignment="1">
      <alignment horizontal="center"/>
    </xf>
    <xf numFmtId="0" fontId="6" fillId="0" borderId="12" xfId="0" applyFont="1" applyBorder="1" applyAlignment="1">
      <alignment horizontal="center"/>
    </xf>
    <xf numFmtId="0" fontId="19" fillId="0" borderId="23" xfId="0" applyFont="1" applyBorder="1" applyAlignment="1">
      <alignment vertical="center" wrapText="1"/>
    </xf>
    <xf numFmtId="0" fontId="19" fillId="0" borderId="24" xfId="0" applyFont="1" applyBorder="1" applyAlignment="1">
      <alignment horizontal="center" vertical="center" wrapText="1"/>
    </xf>
    <xf numFmtId="0" fontId="19" fillId="0" borderId="24" xfId="0" applyFont="1" applyBorder="1" applyAlignment="1">
      <alignment vertical="center" wrapText="1"/>
    </xf>
    <xf numFmtId="0" fontId="19" fillId="0" borderId="25" xfId="0" applyFont="1" applyBorder="1" applyAlignment="1">
      <alignment vertical="center" wrapText="1"/>
    </xf>
    <xf numFmtId="0" fontId="20" fillId="0" borderId="26" xfId="0" applyFont="1" applyBorder="1" applyAlignment="1">
      <alignment horizontal="center" vertical="center"/>
    </xf>
    <xf numFmtId="0" fontId="20" fillId="0" borderId="26" xfId="0" applyFont="1" applyBorder="1" applyAlignment="1">
      <alignment vertical="center"/>
    </xf>
    <xf numFmtId="0" fontId="3" fillId="0" borderId="13" xfId="0" applyFont="1" applyBorder="1" applyAlignment="1">
      <alignment horizontal="center"/>
    </xf>
    <xf numFmtId="0" fontId="2" fillId="0" borderId="7" xfId="0" quotePrefix="1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2" fillId="0" borderId="0" xfId="0" quotePrefix="1" applyFont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3" fillId="0" borderId="20" xfId="0" applyFont="1" applyBorder="1" applyAlignment="1">
      <alignment horizontal="center"/>
    </xf>
    <xf numFmtId="0" fontId="18" fillId="0" borderId="0" xfId="0" applyFont="1" applyAlignment="1">
      <alignment horizontal="center"/>
    </xf>
    <xf numFmtId="0" fontId="21" fillId="0" borderId="0" xfId="0" applyFont="1"/>
    <xf numFmtId="0" fontId="4" fillId="0" borderId="0" xfId="0" applyFont="1" applyAlignment="1">
      <alignment horizontal="right"/>
    </xf>
    <xf numFmtId="0" fontId="6" fillId="0" borderId="5" xfId="0" applyFont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17" fillId="0" borderId="5" xfId="0" applyFont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14" fillId="0" borderId="8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ustomXml" Target="../customXml/item3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2.xml"/><Relationship Id="rId4" Type="http://schemas.openxmlformats.org/officeDocument/2006/relationships/styles" Target="styles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6269724740830183E-2"/>
          <c:y val="0.10416737309687701"/>
          <c:w val="0.94921272063533058"/>
          <c:h val="0.7986165270760571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3303392"/>
        <c:axId val="1"/>
      </c:barChart>
      <c:catAx>
        <c:axId val="563303392"/>
        <c:scaling>
          <c:orientation val="minMax"/>
        </c:scaling>
        <c:delete val="0"/>
        <c:axPos val="b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S Sans Serif"/>
                <a:ea typeface="MS Sans Serif"/>
                <a:cs typeface="MS Sans Serif"/>
              </a:defRPr>
            </a:pPr>
            <a:endParaRPr lang="es-ES"/>
          </a:p>
        </c:txPr>
        <c:crossAx val="1"/>
        <c:crosses val="autoZero"/>
        <c:auto val="0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S Sans Serif"/>
                <a:ea typeface="MS Sans Serif"/>
                <a:cs typeface="MS Sans Serif"/>
              </a:defRPr>
            </a:pPr>
            <a:endParaRPr lang="es-ES"/>
          </a:p>
        </c:txPr>
        <c:crossAx val="5633033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 rotWithShape="0">
      <a:gsLst>
        <a:gs pos="0">
          <a:srgbClr val="FFFF99"/>
        </a:gs>
        <a:gs pos="100000">
          <a:srgbClr val="FFFFFF"/>
        </a:gs>
      </a:gsLst>
      <a:lin ang="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MS Sans Serif"/>
          <a:ea typeface="MS Sans Serif"/>
          <a:cs typeface="MS Sans Serif"/>
        </a:defRPr>
      </a:pPr>
      <a:endParaRPr lang="es-E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 horizontalDpi="-3" verticalDpi="0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35370</xdr:colOff>
      <xdr:row>1</xdr:row>
      <xdr:rowOff>82998</xdr:rowOff>
    </xdr:from>
    <xdr:to>
      <xdr:col>16</xdr:col>
      <xdr:colOff>183930</xdr:colOff>
      <xdr:row>2</xdr:row>
      <xdr:rowOff>63948</xdr:rowOff>
    </xdr:to>
    <xdr:graphicFrame macro="">
      <xdr:nvGraphicFramePr>
        <xdr:cNvPr id="10734" name="Gráfico 1015">
          <a:extLst>
            <a:ext uri="{FF2B5EF4-FFF2-40B4-BE49-F238E27FC236}">
              <a16:creationId xmlns:a16="http://schemas.microsoft.com/office/drawing/2014/main" id="{00000000-0008-0000-0200-0000EE2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1743075</xdr:rowOff>
        </xdr:from>
        <xdr:to>
          <xdr:col>18</xdr:col>
          <xdr:colOff>180975</xdr:colOff>
          <xdr:row>1</xdr:row>
          <xdr:rowOff>2238375</xdr:rowOff>
        </xdr:to>
        <xdr:sp macro="" textlink="">
          <xdr:nvSpPr>
            <xdr:cNvPr id="10697" name="Button 7625" hidden="1">
              <a:extLst>
                <a:ext uri="{63B3BB69-23CF-44E3-9099-C40C66FF867C}">
                  <a14:compatExt spid="_x0000_s10697"/>
                </a:ext>
                <a:ext uri="{FF2B5EF4-FFF2-40B4-BE49-F238E27FC236}">
                  <a16:creationId xmlns:a16="http://schemas.microsoft.com/office/drawing/2014/main" id="{00000000-0008-0000-0200-0000C9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MS Sans Serif"/>
                </a:rPr>
                <a:t>Asig aleatoria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9525</xdr:rowOff>
        </xdr:from>
        <xdr:to>
          <xdr:col>18</xdr:col>
          <xdr:colOff>190500</xdr:colOff>
          <xdr:row>4</xdr:row>
          <xdr:rowOff>66675</xdr:rowOff>
        </xdr:to>
        <xdr:sp macro="" textlink="">
          <xdr:nvSpPr>
            <xdr:cNvPr id="10698" name="Button 7626" hidden="1">
              <a:extLst>
                <a:ext uri="{63B3BB69-23CF-44E3-9099-C40C66FF867C}">
                  <a14:compatExt spid="_x0000_s10698"/>
                </a:ext>
                <a:ext uri="{FF2B5EF4-FFF2-40B4-BE49-F238E27FC236}">
                  <a16:creationId xmlns:a16="http://schemas.microsoft.com/office/drawing/2014/main" id="{00000000-0008-0000-0200-0000CA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MS Sans Serif"/>
                </a:rPr>
                <a:t>Dibujar secuencia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0.02028</cdr:x>
      <cdr:y>0.43347</cdr:y>
    </cdr:from>
    <cdr:to>
      <cdr:x>0.07821</cdr:x>
      <cdr:y>0.57064</cdr:y>
    </cdr:to>
    <cdr:sp macro="" textlink="">
      <cdr:nvSpPr>
        <cdr:cNvPr id="55" name="Rectángulo 54">
          <a:extLst xmlns:a="http://schemas.openxmlformats.org/drawingml/2006/main">
            <a:ext uri="{FF2B5EF4-FFF2-40B4-BE49-F238E27FC236}">
              <a16:creationId xmlns:a16="http://schemas.microsoft.com/office/drawing/2014/main" id="{7EDCD153-CFA0-9C5A-166E-FEC51831CBBC}"/>
            </a:ext>
          </a:extLst>
        </cdr:cNvPr>
        <cdr:cNvSpPr/>
      </cdr:nvSpPr>
      <cdr:spPr bwMode="auto">
        <a:xfrm xmlns:a="http://schemas.openxmlformats.org/drawingml/2006/main">
          <a:off x="177800" y="1003300"/>
          <a:ext cx="508000" cy="317500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0000" mc:Ignorable="a14" a14:legacySpreadsheetColorIndex="10"/>
        </a:solidFill>
        <a:ln xmlns:a="http://schemas.openxmlformats.org/drawingml/2006/main"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es-ES"/>
            <a:t>1</a:t>
          </a:r>
        </a:p>
      </cdr:txBody>
    </cdr:sp>
  </cdr:relSizeAnchor>
  <cdr:relSizeAnchor xmlns:cdr="http://schemas.openxmlformats.org/drawingml/2006/chartDrawing">
    <cdr:from>
      <cdr:x>0.07821</cdr:x>
      <cdr:y>0.43347</cdr:y>
    </cdr:from>
    <cdr:to>
      <cdr:x>0.11442</cdr:x>
      <cdr:y>0.57064</cdr:y>
    </cdr:to>
    <cdr:sp macro="" textlink="">
      <cdr:nvSpPr>
        <cdr:cNvPr id="56" name="Rectángulo 55">
          <a:extLst xmlns:a="http://schemas.openxmlformats.org/drawingml/2006/main">
            <a:ext uri="{FF2B5EF4-FFF2-40B4-BE49-F238E27FC236}">
              <a16:creationId xmlns:a16="http://schemas.microsoft.com/office/drawing/2014/main" id="{B15BAD14-4200-3CE7-05A5-46425C5BC85C}"/>
            </a:ext>
          </a:extLst>
        </cdr:cNvPr>
        <cdr:cNvSpPr/>
      </cdr:nvSpPr>
      <cdr:spPr bwMode="auto">
        <a:xfrm xmlns:a="http://schemas.openxmlformats.org/drawingml/2006/main">
          <a:off x="685800" y="1003300"/>
          <a:ext cx="317500" cy="317500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00FF00" mc:Ignorable="a14" a14:legacySpreadsheetColorIndex="11"/>
        </a:solidFill>
        <a:ln xmlns:a="http://schemas.openxmlformats.org/drawingml/2006/main"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es-ES"/>
            <a:t>2</a:t>
          </a:r>
        </a:p>
      </cdr:txBody>
    </cdr:sp>
  </cdr:relSizeAnchor>
  <cdr:relSizeAnchor xmlns:cdr="http://schemas.openxmlformats.org/drawingml/2006/chartDrawing">
    <cdr:from>
      <cdr:x>0.02028</cdr:x>
      <cdr:y>0.10425</cdr:y>
    </cdr:from>
    <cdr:to>
      <cdr:x>0.04924</cdr:x>
      <cdr:y>0.24143</cdr:y>
    </cdr:to>
    <cdr:sp macro="" textlink="">
      <cdr:nvSpPr>
        <cdr:cNvPr id="57" name="Rectángulo 56">
          <a:extLst xmlns:a="http://schemas.openxmlformats.org/drawingml/2006/main">
            <a:ext uri="{FF2B5EF4-FFF2-40B4-BE49-F238E27FC236}">
              <a16:creationId xmlns:a16="http://schemas.microsoft.com/office/drawing/2014/main" id="{0254F9E5-57B7-E5AF-2DCF-909F5DA561AA}"/>
            </a:ext>
          </a:extLst>
        </cdr:cNvPr>
        <cdr:cNvSpPr/>
      </cdr:nvSpPr>
      <cdr:spPr bwMode="auto">
        <a:xfrm xmlns:a="http://schemas.openxmlformats.org/drawingml/2006/main">
          <a:off x="177800" y="241300"/>
          <a:ext cx="254000" cy="317500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00" mc:Ignorable="a14" a14:legacySpreadsheetColorIndex="13"/>
        </a:solidFill>
        <a:ln xmlns:a="http://schemas.openxmlformats.org/drawingml/2006/main"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es-ES"/>
            <a:t>4</a:t>
          </a:r>
        </a:p>
      </cdr:txBody>
    </cdr:sp>
  </cdr:relSizeAnchor>
  <cdr:relSizeAnchor xmlns:cdr="http://schemas.openxmlformats.org/drawingml/2006/chartDrawing">
    <cdr:from>
      <cdr:x>0.02028</cdr:x>
      <cdr:y>0.26886</cdr:y>
    </cdr:from>
    <cdr:to>
      <cdr:x>0.10718</cdr:x>
      <cdr:y>0.40604</cdr:y>
    </cdr:to>
    <cdr:sp macro="" textlink="">
      <cdr:nvSpPr>
        <cdr:cNvPr id="58" name="Rectángulo 57">
          <a:extLst xmlns:a="http://schemas.openxmlformats.org/drawingml/2006/main">
            <a:ext uri="{FF2B5EF4-FFF2-40B4-BE49-F238E27FC236}">
              <a16:creationId xmlns:a16="http://schemas.microsoft.com/office/drawing/2014/main" id="{993E959C-5EDC-0E5C-6BBC-A7CECCD464F7}"/>
            </a:ext>
          </a:extLst>
        </cdr:cNvPr>
        <cdr:cNvSpPr/>
      </cdr:nvSpPr>
      <cdr:spPr bwMode="auto">
        <a:xfrm xmlns:a="http://schemas.openxmlformats.org/drawingml/2006/main">
          <a:off x="177800" y="622300"/>
          <a:ext cx="762000" cy="317500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0000FF" mc:Ignorable="a14" a14:legacySpreadsheetColorIndex="12"/>
        </a:solidFill>
        <a:ln xmlns:a="http://schemas.openxmlformats.org/drawingml/2006/main"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es-ES"/>
            <a:t>3</a:t>
          </a:r>
        </a:p>
      </cdr:txBody>
    </cdr:sp>
  </cdr:relSizeAnchor>
  <cdr:relSizeAnchor xmlns:cdr="http://schemas.openxmlformats.org/drawingml/2006/chartDrawing">
    <cdr:from>
      <cdr:x>0.04924</cdr:x>
      <cdr:y>0.10425</cdr:y>
    </cdr:from>
    <cdr:to>
      <cdr:x>0.10718</cdr:x>
      <cdr:y>0.24143</cdr:y>
    </cdr:to>
    <cdr:sp macro="" textlink="">
      <cdr:nvSpPr>
        <cdr:cNvPr id="59" name="Rectángulo 58">
          <a:extLst xmlns:a="http://schemas.openxmlformats.org/drawingml/2006/main">
            <a:ext uri="{FF2B5EF4-FFF2-40B4-BE49-F238E27FC236}">
              <a16:creationId xmlns:a16="http://schemas.microsoft.com/office/drawing/2014/main" id="{F8EA7C5D-BB1B-9F4A-F9EC-D9C103E3779C}"/>
            </a:ext>
          </a:extLst>
        </cdr:cNvPr>
        <cdr:cNvSpPr/>
      </cdr:nvSpPr>
      <cdr:spPr bwMode="auto">
        <a:xfrm xmlns:a="http://schemas.openxmlformats.org/drawingml/2006/main">
          <a:off x="431800" y="241300"/>
          <a:ext cx="508000" cy="317500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00FF" mc:Ignorable="a14" a14:legacySpreadsheetColorIndex="14"/>
        </a:solidFill>
        <a:ln xmlns:a="http://schemas.openxmlformats.org/drawingml/2006/main"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es-ES"/>
            <a:t>5</a:t>
          </a:r>
        </a:p>
      </cdr:txBody>
    </cdr:sp>
  </cdr:relSizeAnchor>
</c:userShape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BJ20"/>
  <sheetViews>
    <sheetView workbookViewId="0">
      <selection activeCell="A16" sqref="A16"/>
    </sheetView>
  </sheetViews>
  <sheetFormatPr baseColWidth="10" defaultColWidth="15.7109375" defaultRowHeight="12.75" x14ac:dyDescent="0.2"/>
  <cols>
    <col min="1" max="16384" width="15.7109375" style="34"/>
  </cols>
  <sheetData>
    <row r="1" spans="1:62" x14ac:dyDescent="0.2">
      <c r="A1" s="33" t="s">
        <v>54</v>
      </c>
      <c r="B1" s="38">
        <f>'Job Schedule'!$D$5</f>
        <v>16</v>
      </c>
      <c r="C1" s="39"/>
      <c r="D1" s="39"/>
      <c r="E1" s="36"/>
      <c r="F1" s="33" t="s">
        <v>0</v>
      </c>
      <c r="I1" s="34" t="s">
        <v>47</v>
      </c>
      <c r="J1" s="36">
        <v>3</v>
      </c>
      <c r="L1" s="34" t="s">
        <v>44</v>
      </c>
      <c r="M1" s="36"/>
      <c r="O1" s="34" t="s">
        <v>41</v>
      </c>
    </row>
    <row r="2" spans="1:62" x14ac:dyDescent="0.2">
      <c r="A2" s="33" t="s">
        <v>55</v>
      </c>
      <c r="B2" s="38">
        <v>1</v>
      </c>
      <c r="C2" s="38">
        <v>0</v>
      </c>
      <c r="F2" s="33" t="s">
        <v>72</v>
      </c>
      <c r="G2" s="38" t="b">
        <v>0</v>
      </c>
      <c r="H2" s="38"/>
      <c r="I2" s="34" t="s">
        <v>39</v>
      </c>
      <c r="J2" s="36"/>
      <c r="L2" s="34" t="s">
        <v>66</v>
      </c>
      <c r="M2" s="39"/>
      <c r="O2" s="34" t="s">
        <v>42</v>
      </c>
      <c r="P2" s="36"/>
      <c r="R2" s="34" t="s">
        <v>48</v>
      </c>
      <c r="S2" s="36"/>
      <c r="U2" s="34" t="s">
        <v>52</v>
      </c>
      <c r="V2" s="36"/>
    </row>
    <row r="3" spans="1:62" x14ac:dyDescent="0.2">
      <c r="A3" s="33" t="s">
        <v>61</v>
      </c>
      <c r="B3" s="38" t="b">
        <v>0</v>
      </c>
      <c r="C3" s="38">
        <v>5000</v>
      </c>
      <c r="F3" s="33" t="s">
        <v>73</v>
      </c>
      <c r="G3" s="38" t="b">
        <v>0</v>
      </c>
      <c r="H3" s="38"/>
      <c r="I3" s="34" t="s">
        <v>40</v>
      </c>
      <c r="J3" s="36"/>
      <c r="L3" s="34" t="s">
        <v>65</v>
      </c>
      <c r="M3" s="39"/>
      <c r="N3" s="39"/>
      <c r="O3" s="34" t="s">
        <v>43</v>
      </c>
      <c r="P3" s="36"/>
      <c r="R3" s="34" t="s">
        <v>49</v>
      </c>
      <c r="S3" s="36"/>
      <c r="U3" s="34" t="s">
        <v>53</v>
      </c>
      <c r="V3" s="36"/>
    </row>
    <row r="4" spans="1:62" x14ac:dyDescent="0.2">
      <c r="A4" s="33" t="s">
        <v>63</v>
      </c>
      <c r="B4" s="38" t="b">
        <v>1</v>
      </c>
      <c r="C4" s="38">
        <v>10</v>
      </c>
      <c r="D4" s="38">
        <v>2</v>
      </c>
      <c r="F4" s="33" t="s">
        <v>74</v>
      </c>
      <c r="G4" s="38" t="b">
        <v>0</v>
      </c>
      <c r="H4" s="38"/>
      <c r="L4" s="34" t="s">
        <v>58</v>
      </c>
      <c r="M4" s="39"/>
      <c r="O4" s="34" t="s">
        <v>3</v>
      </c>
      <c r="P4" s="36"/>
      <c r="R4" s="34" t="s">
        <v>50</v>
      </c>
      <c r="S4" s="36"/>
    </row>
    <row r="5" spans="1:62" x14ac:dyDescent="0.2">
      <c r="A5" s="33" t="s">
        <v>64</v>
      </c>
      <c r="B5" s="38" t="b">
        <v>0</v>
      </c>
      <c r="C5" s="38">
        <v>100</v>
      </c>
      <c r="D5" s="38">
        <v>1E-4</v>
      </c>
      <c r="E5" s="38" t="b">
        <v>0</v>
      </c>
      <c r="F5" s="33" t="s">
        <v>75</v>
      </c>
      <c r="G5" s="38" t="b">
        <v>1</v>
      </c>
      <c r="H5" s="38" t="s">
        <v>86</v>
      </c>
      <c r="L5" s="34" t="s">
        <v>59</v>
      </c>
      <c r="M5" s="39"/>
      <c r="O5" s="34" t="s">
        <v>4</v>
      </c>
      <c r="P5" s="36"/>
      <c r="R5" s="34" t="s">
        <v>51</v>
      </c>
      <c r="S5" s="40" t="s">
        <v>79</v>
      </c>
    </row>
    <row r="6" spans="1:62" x14ac:dyDescent="0.2">
      <c r="A6" s="33" t="s">
        <v>62</v>
      </c>
      <c r="B6" s="38" t="b">
        <v>0</v>
      </c>
      <c r="C6" s="38"/>
      <c r="F6" s="33" t="s">
        <v>76</v>
      </c>
      <c r="G6" s="38" t="b">
        <v>0</v>
      </c>
      <c r="H6" s="38"/>
      <c r="L6" s="34" t="s">
        <v>77</v>
      </c>
      <c r="M6" s="39"/>
      <c r="N6" s="39"/>
    </row>
    <row r="7" spans="1:62" x14ac:dyDescent="0.2">
      <c r="A7" s="33" t="s">
        <v>56</v>
      </c>
      <c r="B7" s="38">
        <v>500</v>
      </c>
      <c r="F7" s="33"/>
      <c r="L7" s="34" t="s">
        <v>78</v>
      </c>
      <c r="M7" s="39"/>
      <c r="N7" s="39"/>
    </row>
    <row r="8" spans="1:62" x14ac:dyDescent="0.2">
      <c r="A8" s="33" t="s">
        <v>9</v>
      </c>
      <c r="B8" s="34" t="s">
        <v>9</v>
      </c>
      <c r="F8" s="33" t="s">
        <v>57</v>
      </c>
      <c r="G8" s="38" t="b">
        <v>1</v>
      </c>
      <c r="H8" s="38">
        <v>1</v>
      </c>
    </row>
    <row r="9" spans="1:62" x14ac:dyDescent="0.2">
      <c r="A9" s="33" t="s">
        <v>71</v>
      </c>
      <c r="B9" s="38">
        <v>2</v>
      </c>
      <c r="F9" s="34" t="s">
        <v>68</v>
      </c>
      <c r="G9" s="38" t="b">
        <v>0</v>
      </c>
    </row>
    <row r="10" spans="1:62" x14ac:dyDescent="0.2">
      <c r="A10" s="33" t="s">
        <v>60</v>
      </c>
      <c r="B10" s="38" t="b">
        <v>0</v>
      </c>
    </row>
    <row r="11" spans="1:62" x14ac:dyDescent="0.2">
      <c r="A11" s="33" t="s">
        <v>67</v>
      </c>
      <c r="B11" s="38" t="b">
        <v>1</v>
      </c>
    </row>
    <row r="12" spans="1:62" x14ac:dyDescent="0.2">
      <c r="A12" s="33" t="s">
        <v>70</v>
      </c>
      <c r="B12" s="38" t="b">
        <v>0</v>
      </c>
      <c r="F12" s="34" t="s">
        <v>69</v>
      </c>
      <c r="G12" s="38">
        <v>2</v>
      </c>
    </row>
    <row r="13" spans="1:62" ht="13.5" thickBot="1" x14ac:dyDescent="0.25">
      <c r="A13" s="33"/>
    </row>
    <row r="14" spans="1:62" s="35" customFormat="1" ht="13.5" thickTop="1" thickBot="1" x14ac:dyDescent="0.25">
      <c r="A14" s="35" t="s">
        <v>45</v>
      </c>
      <c r="B14" s="37">
        <v>1</v>
      </c>
      <c r="AX14" s="35" t="s">
        <v>46</v>
      </c>
      <c r="AY14" s="37">
        <v>0</v>
      </c>
    </row>
    <row r="15" spans="1:62" s="35" customFormat="1" thickTop="1" x14ac:dyDescent="0.2">
      <c r="A15" s="35" t="s">
        <v>19</v>
      </c>
      <c r="B15" s="35" t="s">
        <v>20</v>
      </c>
      <c r="C15" s="35" t="s">
        <v>21</v>
      </c>
      <c r="D15" s="35" t="s">
        <v>7</v>
      </c>
      <c r="E15" s="35" t="s">
        <v>22</v>
      </c>
      <c r="F15" s="35" t="s">
        <v>23</v>
      </c>
      <c r="G15" s="35" t="s">
        <v>2</v>
      </c>
      <c r="H15" s="35" t="s">
        <v>24</v>
      </c>
      <c r="I15" s="35" t="s">
        <v>25</v>
      </c>
      <c r="J15" s="35" t="s">
        <v>26</v>
      </c>
      <c r="K15" s="35" t="s">
        <v>5</v>
      </c>
      <c r="AR15" s="35" t="s">
        <v>27</v>
      </c>
      <c r="AX15" s="35" t="s">
        <v>28</v>
      </c>
      <c r="AY15" s="35" t="s">
        <v>29</v>
      </c>
      <c r="AZ15" s="35" t="s">
        <v>6</v>
      </c>
      <c r="BA15" s="35" t="s">
        <v>7</v>
      </c>
      <c r="BB15" s="35" t="s">
        <v>30</v>
      </c>
      <c r="BC15" s="35" t="s">
        <v>31</v>
      </c>
      <c r="BD15" s="35" t="s">
        <v>32</v>
      </c>
      <c r="BE15" s="35" t="s">
        <v>33</v>
      </c>
      <c r="BF15" s="35" t="s">
        <v>34</v>
      </c>
      <c r="BG15" s="35" t="s">
        <v>35</v>
      </c>
      <c r="BH15" s="35" t="s">
        <v>36</v>
      </c>
      <c r="BI15" s="35" t="s">
        <v>37</v>
      </c>
      <c r="BJ15" s="35" t="s">
        <v>38</v>
      </c>
    </row>
    <row r="16" spans="1:62" x14ac:dyDescent="0.2">
      <c r="A16" s="34" t="s">
        <v>84</v>
      </c>
      <c r="B16" s="34">
        <v>0.1</v>
      </c>
      <c r="C16" s="34">
        <v>0.5</v>
      </c>
      <c r="D16" s="41" t="s">
        <v>85</v>
      </c>
      <c r="E16" s="34">
        <v>0</v>
      </c>
      <c r="G16" s="34">
        <v>1</v>
      </c>
      <c r="H16" s="34" t="e">
        <f>'Job Schedule'!$I$10:$I$14</f>
        <v>#VALUE!</v>
      </c>
    </row>
    <row r="17" spans="1:1" x14ac:dyDescent="0.2">
      <c r="A17" s="34" t="s">
        <v>80</v>
      </c>
    </row>
    <row r="18" spans="1:1" x14ac:dyDescent="0.2">
      <c r="A18" s="34" t="s">
        <v>81</v>
      </c>
    </row>
    <row r="19" spans="1:1" x14ac:dyDescent="0.2">
      <c r="A19" s="34" t="s">
        <v>82</v>
      </c>
    </row>
    <row r="20" spans="1:1" x14ac:dyDescent="0.2">
      <c r="A20" s="34" t="s">
        <v>83</v>
      </c>
    </row>
  </sheetData>
  <phoneticPr fontId="7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AA40"/>
  <sheetViews>
    <sheetView showGridLines="0" tabSelected="1" topLeftCell="A2" zoomScale="145" zoomScaleNormal="145" workbookViewId="0">
      <selection activeCell="L17" sqref="L17"/>
    </sheetView>
  </sheetViews>
  <sheetFormatPr baseColWidth="10" defaultRowHeight="12.75" x14ac:dyDescent="0.2"/>
  <cols>
    <col min="1" max="1" width="7.7109375" style="1" customWidth="1"/>
    <col min="2" max="6" width="6.28515625" style="1" customWidth="1"/>
    <col min="7" max="7" width="3.140625" customWidth="1"/>
    <col min="8" max="8" width="8.42578125" customWidth="1"/>
    <col min="9" max="9" width="8.5703125" bestFit="1" customWidth="1"/>
    <col min="10" max="10" width="5.140625" bestFit="1" customWidth="1"/>
    <col min="11" max="11" width="5.140625" customWidth="1"/>
    <col min="12" max="12" width="7.42578125" customWidth="1"/>
    <col min="13" max="13" width="12.42578125" customWidth="1"/>
    <col min="14" max="14" width="9.7109375" customWidth="1"/>
    <col min="15" max="15" width="14.140625" customWidth="1"/>
    <col min="16" max="16" width="16" customWidth="1"/>
    <col min="17" max="17" width="14.28515625" customWidth="1"/>
    <col min="18" max="18" width="9.7109375" bestFit="1" customWidth="1"/>
    <col min="19" max="19" width="4.85546875" bestFit="1" customWidth="1"/>
    <col min="20" max="20" width="9.7109375" bestFit="1" customWidth="1"/>
    <col min="21" max="21" width="4.85546875" bestFit="1" customWidth="1"/>
    <col min="22" max="22" width="9.7109375" bestFit="1" customWidth="1"/>
    <col min="23" max="256" width="9.140625" customWidth="1"/>
  </cols>
  <sheetData>
    <row r="1" spans="1:25" ht="21.75" customHeight="1" x14ac:dyDescent="0.25">
      <c r="A1" s="29" t="s">
        <v>95</v>
      </c>
      <c r="B1" s="29"/>
      <c r="C1" s="29"/>
      <c r="D1" s="29"/>
      <c r="E1" s="29"/>
    </row>
    <row r="2" spans="1:25" ht="183.75" customHeight="1" x14ac:dyDescent="0.2"/>
    <row r="3" spans="1:25" ht="15.75" x14ac:dyDescent="0.25">
      <c r="A3"/>
      <c r="B3"/>
      <c r="C3"/>
      <c r="D3"/>
      <c r="E3"/>
      <c r="G3" s="8"/>
      <c r="H3" s="8"/>
      <c r="I3" s="8"/>
      <c r="J3" s="8"/>
      <c r="K3" s="8"/>
      <c r="L3" s="8"/>
    </row>
    <row r="4" spans="1:25" ht="17.25" customHeight="1" thickBot="1" x14ac:dyDescent="0.3">
      <c r="A4" s="28"/>
      <c r="B4" s="28"/>
      <c r="C4" s="28"/>
      <c r="D4" s="28"/>
      <c r="E4" s="28"/>
      <c r="F4"/>
      <c r="G4" s="6"/>
      <c r="H4" s="6"/>
      <c r="I4" s="6"/>
      <c r="J4" s="6"/>
      <c r="K4" s="6"/>
      <c r="L4" s="6"/>
      <c r="M4" s="6"/>
      <c r="N4" s="7"/>
    </row>
    <row r="5" spans="1:25" s="8" customFormat="1" ht="16.5" thickBot="1" x14ac:dyDescent="0.3">
      <c r="A5"/>
      <c r="B5" s="2"/>
      <c r="C5" s="19" t="s">
        <v>8</v>
      </c>
      <c r="D5" s="20">
        <f>MAX(N15,P15,R15,T15,V15)</f>
        <v>16</v>
      </c>
      <c r="E5"/>
      <c r="F5"/>
      <c r="G5"/>
      <c r="H5"/>
      <c r="I5"/>
      <c r="J5"/>
      <c r="K5"/>
      <c r="L5"/>
      <c r="M5"/>
      <c r="N5"/>
    </row>
    <row r="6" spans="1:25" s="10" customFormat="1" x14ac:dyDescent="0.2">
      <c r="A6"/>
      <c r="B6"/>
      <c r="C6"/>
      <c r="D6"/>
      <c r="E6"/>
      <c r="F6"/>
      <c r="G6"/>
      <c r="H6"/>
      <c r="I6"/>
      <c r="J6"/>
      <c r="K6"/>
      <c r="L6"/>
      <c r="M6" s="11"/>
      <c r="N6" s="11"/>
      <c r="W6"/>
      <c r="X6"/>
      <c r="Y6"/>
    </row>
    <row r="7" spans="1:25" ht="16.5" customHeight="1" thickBot="1" x14ac:dyDescent="0.3">
      <c r="A7" s="18" t="s">
        <v>12</v>
      </c>
      <c r="B7" s="18"/>
      <c r="C7" s="18"/>
      <c r="D7" s="18"/>
      <c r="E7" s="18"/>
      <c r="F7" s="11"/>
      <c r="H7" s="18" t="s">
        <v>11</v>
      </c>
      <c r="I7" s="18"/>
      <c r="L7" s="8"/>
      <c r="M7" s="74" t="s">
        <v>99</v>
      </c>
      <c r="N7" s="74"/>
      <c r="O7" s="74"/>
      <c r="P7" s="74"/>
      <c r="Q7" s="74"/>
      <c r="R7" s="74"/>
      <c r="S7" s="32"/>
      <c r="T7" s="32"/>
      <c r="U7" s="32"/>
      <c r="V7" s="32"/>
    </row>
    <row r="8" spans="1:25" s="2" customFormat="1" x14ac:dyDescent="0.2">
      <c r="A8" s="42" t="s">
        <v>13</v>
      </c>
      <c r="B8" s="68" t="s">
        <v>14</v>
      </c>
      <c r="C8" s="69"/>
      <c r="D8" s="70"/>
      <c r="E8" s="13"/>
      <c r="F8" s="13"/>
      <c r="G8" s="3"/>
      <c r="H8" s="30" t="s">
        <v>13</v>
      </c>
      <c r="I8" s="14" t="s">
        <v>15</v>
      </c>
      <c r="J8" s="30" t="s">
        <v>17</v>
      </c>
      <c r="K8" s="63"/>
      <c r="M8" s="72">
        <v>1</v>
      </c>
      <c r="N8" s="73"/>
      <c r="O8" s="66">
        <v>2</v>
      </c>
      <c r="P8" s="71"/>
      <c r="Q8" s="66">
        <v>3</v>
      </c>
      <c r="R8" s="67"/>
      <c r="S8" s="43"/>
      <c r="T8" s="43"/>
      <c r="U8" s="43"/>
      <c r="V8" s="43"/>
      <c r="W8"/>
      <c r="X8"/>
      <c r="Y8"/>
    </row>
    <row r="9" spans="1:25" s="2" customFormat="1" ht="16.5" thickBot="1" x14ac:dyDescent="0.3">
      <c r="A9" s="53"/>
      <c r="B9" s="15" t="s">
        <v>96</v>
      </c>
      <c r="C9" s="15" t="s">
        <v>97</v>
      </c>
      <c r="D9" s="15" t="s">
        <v>98</v>
      </c>
      <c r="E9" s="55"/>
      <c r="F9" s="3"/>
      <c r="G9" s="13"/>
      <c r="H9" s="15"/>
      <c r="I9" s="15" t="s">
        <v>16</v>
      </c>
      <c r="J9" s="31" t="s">
        <v>18</v>
      </c>
      <c r="K9" s="63"/>
      <c r="L9" s="65"/>
      <c r="M9" s="16" t="s">
        <v>1</v>
      </c>
      <c r="N9" s="17" t="s">
        <v>10</v>
      </c>
      <c r="O9" s="16" t="s">
        <v>1</v>
      </c>
      <c r="P9" s="17" t="s">
        <v>10</v>
      </c>
      <c r="Q9" s="16" t="s">
        <v>1</v>
      </c>
      <c r="R9" s="45" t="s">
        <v>10</v>
      </c>
      <c r="S9" s="44"/>
      <c r="T9" s="44"/>
      <c r="U9" s="44"/>
      <c r="V9" s="44"/>
      <c r="W9"/>
      <c r="X9"/>
      <c r="Y9"/>
    </row>
    <row r="10" spans="1:25" ht="13.5" thickBot="1" x14ac:dyDescent="0.25">
      <c r="A10" s="54">
        <v>1</v>
      </c>
      <c r="B10" s="58">
        <v>10</v>
      </c>
      <c r="C10" s="52">
        <v>9</v>
      </c>
      <c r="D10" s="56">
        <v>8</v>
      </c>
      <c r="E10" s="4"/>
      <c r="F10" s="4"/>
      <c r="G10" s="13"/>
      <c r="H10" s="12">
        <v>1</v>
      </c>
      <c r="I10" s="12">
        <v>3</v>
      </c>
      <c r="J10" s="9">
        <f>VLOOKUP($H10,job_data,I10+1)</f>
        <v>8</v>
      </c>
      <c r="K10" s="4"/>
      <c r="M10" s="25">
        <v>0</v>
      </c>
      <c r="N10" s="26">
        <f>IF($I10=1,M10+$J10,0)</f>
        <v>0</v>
      </c>
      <c r="O10" s="25">
        <v>0</v>
      </c>
      <c r="P10" s="26">
        <f t="shared" ref="P10:P14" si="0">IF($I10=2,O10+$J10,0)</f>
        <v>0</v>
      </c>
      <c r="Q10" s="25">
        <v>0</v>
      </c>
      <c r="R10" s="26">
        <f>IF($I10=3,Q10+$J10,0)</f>
        <v>8</v>
      </c>
      <c r="S10" s="24"/>
      <c r="T10" s="24"/>
      <c r="U10" s="24"/>
      <c r="V10" s="24"/>
    </row>
    <row r="11" spans="1:25" ht="13.5" thickBot="1" x14ac:dyDescent="0.25">
      <c r="A11" s="54">
        <v>2</v>
      </c>
      <c r="B11" s="59">
        <v>14</v>
      </c>
      <c r="C11" s="9">
        <v>8</v>
      </c>
      <c r="D11" s="57">
        <v>5</v>
      </c>
      <c r="E11" s="4"/>
      <c r="F11" s="4"/>
      <c r="G11" s="5"/>
      <c r="H11" s="12">
        <v>2</v>
      </c>
      <c r="I11" s="12">
        <v>3</v>
      </c>
      <c r="J11" s="9">
        <f>VLOOKUP($H11,job_data,I11+1)</f>
        <v>5</v>
      </c>
      <c r="K11" s="4"/>
      <c r="M11" s="25" cm="1">
        <f t="array" ref="M11">IF($I11=1,INDEX(M1_Sijk,IFERROR(LOOKUP(2,1/($I$10:$I10=1),$H$10:$H10),$H11),$H11)+MAX(N$10:N10),0)</f>
        <v>0</v>
      </c>
      <c r="N11" s="26">
        <f>IF($I11=1,M11+$J11,0)</f>
        <v>0</v>
      </c>
      <c r="O11" s="25" cm="1">
        <f t="array" ref="O11">IF($I11=2,INDEX(M2_Sijk,IFERROR(LOOKUP(2,1/($I$10:$I10=2),$H$10:$H10),$H11),$H11)+MAX(P$10:P10),0)</f>
        <v>0</v>
      </c>
      <c r="P11" s="26">
        <f t="shared" si="0"/>
        <v>0</v>
      </c>
      <c r="Q11" s="25" cm="1">
        <f t="array" ref="Q11">IF($I11=3,INDEX(M3_Sijk,IFERROR(LOOKUP(2,1/($I$10:$I10=3),$H$10:$H10),$H11),$H11)+MAX(R$10:R10),0)</f>
        <v>9</v>
      </c>
      <c r="R11" s="26">
        <f t="shared" ref="R11:R14" si="1">IF($I11=3,Q11+$J11,0)</f>
        <v>14</v>
      </c>
      <c r="S11" s="24"/>
      <c r="T11" s="24"/>
      <c r="U11" s="24"/>
      <c r="V11" s="24"/>
    </row>
    <row r="12" spans="1:25" ht="13.5" thickBot="1" x14ac:dyDescent="0.25">
      <c r="A12" s="54">
        <v>3</v>
      </c>
      <c r="B12" s="59">
        <v>10</v>
      </c>
      <c r="C12" s="9">
        <v>12</v>
      </c>
      <c r="D12" s="57">
        <v>8</v>
      </c>
      <c r="E12" s="4"/>
      <c r="F12" s="4"/>
      <c r="G12" s="5"/>
      <c r="H12" s="12">
        <v>4</v>
      </c>
      <c r="I12" s="12">
        <v>1</v>
      </c>
      <c r="J12" s="9">
        <f>VLOOKUP($H12,job_data,I12+1)</f>
        <v>4</v>
      </c>
      <c r="K12" s="4"/>
      <c r="M12" s="25" cm="1">
        <f t="array" ref="M12">IF($I12=1,INDEX(M1_Sijk,IFERROR(LOOKUP(2,1/($I$10:$I11=1),$H$10:$H11),$H12),$H12)+MAX(N$10:N11),0)</f>
        <v>0</v>
      </c>
      <c r="N12" s="26">
        <f>IF($I12=1,M12+$J12,0)</f>
        <v>4</v>
      </c>
      <c r="O12" s="25" cm="1">
        <f t="array" ref="O12">IF($I12=2,INDEX(M2_Sijk,IFERROR(LOOKUP(2,1/($I$10:$I11=2),$H$10:$H11),$H12),$H12)+MAX(P$10:P11),0)</f>
        <v>0</v>
      </c>
      <c r="P12" s="26">
        <f t="shared" si="0"/>
        <v>0</v>
      </c>
      <c r="Q12" s="25" cm="1">
        <f t="array" ref="Q12">IF($I12=3,INDEX(M3_Sijk,IFERROR(LOOKUP(2,1/($I$10:$I11=3),$H$10:$H11),$H12),$H12)+MAX(R$10:R11),0)</f>
        <v>0</v>
      </c>
      <c r="R12" s="26">
        <f t="shared" si="1"/>
        <v>0</v>
      </c>
      <c r="S12" s="24"/>
      <c r="T12" s="24"/>
      <c r="U12" s="24"/>
      <c r="V12" s="24"/>
    </row>
    <row r="13" spans="1:25" ht="13.5" thickBot="1" x14ac:dyDescent="0.25">
      <c r="A13" s="54">
        <v>4</v>
      </c>
      <c r="B13" s="59">
        <v>4</v>
      </c>
      <c r="C13" s="9">
        <v>8</v>
      </c>
      <c r="D13" s="57">
        <v>9</v>
      </c>
      <c r="E13" s="4"/>
      <c r="F13" s="4"/>
      <c r="G13" s="5"/>
      <c r="H13" s="12">
        <v>3</v>
      </c>
      <c r="I13" s="12">
        <v>2</v>
      </c>
      <c r="J13" s="9">
        <f>VLOOKUP($H13,job_data,I13+1)</f>
        <v>12</v>
      </c>
      <c r="K13" s="4"/>
      <c r="M13" s="25" cm="1">
        <f t="array" ref="M13">IF($I13=1,INDEX(M1_Sijk,IFERROR(LOOKUP(2,1/($I$10:$I12=1),$H$10:$H12),$H13),$H13)+MAX(N$10:N12),0)</f>
        <v>0</v>
      </c>
      <c r="N13" s="26">
        <f>IF($I13=1,M13+$J13,0)</f>
        <v>0</v>
      </c>
      <c r="O13" s="25" cm="1">
        <f t="array" ref="O13">IF($I13=2,INDEX(M2_Sijk,IFERROR(LOOKUP(2,1/($I$10:$I12=2),$H$10:$H12),$H13),$H13)+MAX(P$10:P12),0)</f>
        <v>0</v>
      </c>
      <c r="P13" s="26">
        <f t="shared" si="0"/>
        <v>12</v>
      </c>
      <c r="Q13" s="25" cm="1">
        <f t="array" ref="Q13">IF($I13=3,INDEX(M3_Sijk,IFERROR(LOOKUP(2,1/($I$10:$I12=3),$H$10:$H12),$H13),$H13)+MAX(R$10:R12),0)</f>
        <v>0</v>
      </c>
      <c r="R13" s="26">
        <f t="shared" si="1"/>
        <v>0</v>
      </c>
      <c r="S13" s="24"/>
      <c r="T13" s="24"/>
      <c r="U13" s="24"/>
      <c r="V13" s="24"/>
    </row>
    <row r="14" spans="1:25" ht="13.5" thickBot="1" x14ac:dyDescent="0.25">
      <c r="A14" s="54">
        <v>5</v>
      </c>
      <c r="B14" s="60">
        <v>8</v>
      </c>
      <c r="C14" s="61">
        <v>10</v>
      </c>
      <c r="D14" s="62">
        <v>14</v>
      </c>
      <c r="E14" s="4"/>
      <c r="F14" s="4"/>
      <c r="G14" s="5"/>
      <c r="H14" s="12">
        <v>5</v>
      </c>
      <c r="I14" s="12">
        <v>1</v>
      </c>
      <c r="J14" s="9">
        <f>VLOOKUP($H14,job_data,I14+1)</f>
        <v>8</v>
      </c>
      <c r="K14" s="4"/>
      <c r="M14" s="25" cm="1">
        <f t="array" ref="M14">IF($I14=1,INDEX(M1_Sijk,IFERROR(LOOKUP(2,1/($I$10:$I13=1),$H$10:$H13),$H14),$H14)+MAX(N$10:N13),0)</f>
        <v>8</v>
      </c>
      <c r="N14" s="26">
        <f>IF($I14=1,M14+$J14,0)</f>
        <v>16</v>
      </c>
      <c r="O14" s="25" cm="1">
        <f t="array" ref="O14">IF($I14=2,INDEX(M2_Sijk,IFERROR(LOOKUP(2,1/($I$10:$I13=2),$H$10:$H13),$H14),$H14)+MAX(P$10:P13),0)</f>
        <v>0</v>
      </c>
      <c r="P14" s="26">
        <f t="shared" si="0"/>
        <v>0</v>
      </c>
      <c r="Q14" s="25" cm="1">
        <f t="array" ref="Q14">IF($I14=3,INDEX(M3_Sijk,IFERROR(LOOKUP(2,1/($I$10:$I13=3),$H$10:$H13),$H14),$H14)+MAX(R$10:R13),0)</f>
        <v>0</v>
      </c>
      <c r="R14" s="26">
        <f t="shared" si="1"/>
        <v>0</v>
      </c>
      <c r="S14" s="24"/>
      <c r="T14" s="24"/>
      <c r="U14" s="24"/>
      <c r="V14" s="24"/>
    </row>
    <row r="15" spans="1:25" x14ac:dyDescent="0.2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24"/>
      <c r="N15" s="27">
        <f>MAX(N10:N14)</f>
        <v>16</v>
      </c>
      <c r="O15" s="24"/>
      <c r="P15" s="27">
        <f>MAX(P10:P14)</f>
        <v>12</v>
      </c>
      <c r="Q15" s="27"/>
      <c r="R15" s="27">
        <f>MAX(R10:R14)</f>
        <v>14</v>
      </c>
      <c r="S15" s="27"/>
      <c r="T15" s="27"/>
      <c r="U15" s="27"/>
      <c r="V15" s="27"/>
    </row>
    <row r="16" spans="1:25" x14ac:dyDescent="0.2">
      <c r="A16"/>
      <c r="B16"/>
      <c r="C16"/>
      <c r="D16"/>
      <c r="E16"/>
      <c r="F16"/>
      <c r="O16" s="24"/>
    </row>
    <row r="17" spans="1:27" x14ac:dyDescent="0.2">
      <c r="A17"/>
      <c r="B17"/>
      <c r="C17"/>
      <c r="D17"/>
      <c r="E17"/>
      <c r="F17"/>
      <c r="O17" s="24"/>
    </row>
    <row r="18" spans="1:27" ht="13.5" thickBot="1" x14ac:dyDescent="0.25">
      <c r="A18"/>
      <c r="B18"/>
      <c r="C18"/>
      <c r="D18"/>
      <c r="E18"/>
      <c r="F18"/>
      <c r="O18" s="24"/>
      <c r="T18" s="21"/>
      <c r="U18" s="21"/>
      <c r="V18" s="21"/>
      <c r="W18" s="21"/>
      <c r="X18" s="21"/>
      <c r="Y18" s="21"/>
      <c r="Z18" s="21"/>
      <c r="AA18" s="21"/>
    </row>
    <row r="19" spans="1:27" ht="16.5" thickBot="1" x14ac:dyDescent="0.35">
      <c r="A19" s="46" t="s">
        <v>87</v>
      </c>
      <c r="B19" s="47" t="s">
        <v>88</v>
      </c>
      <c r="C19" s="48" t="s">
        <v>89</v>
      </c>
      <c r="D19" s="47" t="s">
        <v>90</v>
      </c>
      <c r="E19" s="47" t="s">
        <v>91</v>
      </c>
      <c r="F19" s="48" t="s">
        <v>92</v>
      </c>
      <c r="L19" s="64"/>
      <c r="O19" s="24"/>
      <c r="T19" s="21"/>
      <c r="U19" s="22"/>
      <c r="V19" s="21"/>
      <c r="W19" s="22"/>
      <c r="X19" s="22"/>
      <c r="Y19" s="22"/>
      <c r="Z19" s="21"/>
      <c r="AA19" s="21"/>
    </row>
    <row r="20" spans="1:27" ht="16.5" thickBot="1" x14ac:dyDescent="0.25">
      <c r="A20" s="49" t="s">
        <v>88</v>
      </c>
      <c r="B20" s="50">
        <v>0</v>
      </c>
      <c r="C20" s="51">
        <v>3</v>
      </c>
      <c r="D20" s="50">
        <v>3</v>
      </c>
      <c r="E20" s="50">
        <v>6</v>
      </c>
      <c r="F20" s="51">
        <v>5</v>
      </c>
      <c r="O20" s="24"/>
      <c r="T20" s="22"/>
      <c r="U20" s="22"/>
      <c r="V20" s="22"/>
      <c r="W20" s="22"/>
      <c r="X20" s="22"/>
      <c r="Y20" s="22"/>
      <c r="Z20" s="22"/>
      <c r="AA20" s="21"/>
    </row>
    <row r="21" spans="1:27" ht="16.5" thickBot="1" x14ac:dyDescent="0.25">
      <c r="A21" s="49" t="s">
        <v>89</v>
      </c>
      <c r="B21" s="50">
        <v>5</v>
      </c>
      <c r="C21" s="51">
        <v>0</v>
      </c>
      <c r="D21" s="50">
        <v>6</v>
      </c>
      <c r="E21" s="50">
        <v>1</v>
      </c>
      <c r="F21" s="51">
        <v>3</v>
      </c>
      <c r="Q21" s="24"/>
      <c r="T21" s="23"/>
      <c r="U21" s="23"/>
      <c r="V21" s="23"/>
      <c r="W21" s="23"/>
      <c r="X21" s="23"/>
      <c r="Y21" s="23"/>
      <c r="Z21" s="23"/>
      <c r="AA21" s="21"/>
    </row>
    <row r="22" spans="1:27" ht="16.5" thickBot="1" x14ac:dyDescent="0.25">
      <c r="A22" s="49" t="s">
        <v>90</v>
      </c>
      <c r="B22" s="50">
        <v>2</v>
      </c>
      <c r="C22" s="51">
        <v>6</v>
      </c>
      <c r="D22" s="50">
        <v>0</v>
      </c>
      <c r="E22" s="50">
        <v>5</v>
      </c>
      <c r="F22" s="51">
        <v>3</v>
      </c>
      <c r="O22" s="24"/>
      <c r="T22" s="23"/>
      <c r="U22" s="23"/>
      <c r="V22" s="24"/>
      <c r="W22" s="23"/>
      <c r="X22" s="23"/>
      <c r="Y22" s="23"/>
      <c r="Z22" s="24"/>
      <c r="AA22" s="21"/>
    </row>
    <row r="23" spans="1:27" ht="16.5" thickBot="1" x14ac:dyDescent="0.25">
      <c r="A23" s="49" t="s">
        <v>91</v>
      </c>
      <c r="B23" s="50">
        <v>5</v>
      </c>
      <c r="C23" s="51">
        <v>3</v>
      </c>
      <c r="D23" s="50">
        <v>6</v>
      </c>
      <c r="E23" s="50">
        <v>0</v>
      </c>
      <c r="F23" s="51">
        <v>4</v>
      </c>
      <c r="T23" s="23"/>
      <c r="U23" s="23"/>
      <c r="V23" s="24"/>
      <c r="W23" s="23"/>
      <c r="X23" s="23"/>
      <c r="Y23" s="23"/>
      <c r="Z23" s="24"/>
      <c r="AA23" s="21"/>
    </row>
    <row r="24" spans="1:27" ht="16.5" thickBot="1" x14ac:dyDescent="0.25">
      <c r="A24" s="49" t="s">
        <v>92</v>
      </c>
      <c r="B24" s="50">
        <v>3</v>
      </c>
      <c r="C24" s="51">
        <v>3</v>
      </c>
      <c r="D24" s="50">
        <v>3</v>
      </c>
      <c r="E24" s="50">
        <v>5</v>
      </c>
      <c r="F24" s="51">
        <v>0</v>
      </c>
      <c r="T24" s="23"/>
      <c r="U24" s="23"/>
      <c r="V24" s="23"/>
      <c r="W24" s="23"/>
      <c r="X24" s="23"/>
      <c r="Y24" s="23"/>
      <c r="Z24" s="23"/>
      <c r="AA24" s="21"/>
    </row>
    <row r="25" spans="1:27" x14ac:dyDescent="0.2">
      <c r="A25"/>
      <c r="B25"/>
      <c r="C25"/>
      <c r="D25"/>
      <c r="E25"/>
      <c r="F25"/>
      <c r="T25" s="23"/>
      <c r="U25" s="23"/>
      <c r="V25" s="23"/>
      <c r="W25" s="23"/>
      <c r="X25" s="23"/>
      <c r="Y25" s="23"/>
      <c r="Z25" s="23"/>
      <c r="AA25" s="21"/>
    </row>
    <row r="26" spans="1:27" ht="13.5" thickBot="1" x14ac:dyDescent="0.25">
      <c r="A26"/>
      <c r="B26"/>
      <c r="C26"/>
      <c r="D26"/>
      <c r="E26"/>
      <c r="F26"/>
    </row>
    <row r="27" spans="1:27" ht="16.5" thickBot="1" x14ac:dyDescent="0.25">
      <c r="A27" s="46" t="s">
        <v>93</v>
      </c>
      <c r="B27" s="47" t="s">
        <v>88</v>
      </c>
      <c r="C27" s="48" t="s">
        <v>89</v>
      </c>
      <c r="D27" s="47" t="s">
        <v>90</v>
      </c>
      <c r="E27" s="48" t="s">
        <v>91</v>
      </c>
      <c r="F27" s="47" t="s">
        <v>92</v>
      </c>
    </row>
    <row r="28" spans="1:27" ht="16.5" thickBot="1" x14ac:dyDescent="0.25">
      <c r="A28" s="49" t="s">
        <v>88</v>
      </c>
      <c r="B28" s="50">
        <v>0</v>
      </c>
      <c r="C28" s="51">
        <v>1</v>
      </c>
      <c r="D28" s="50">
        <v>2</v>
      </c>
      <c r="E28" s="51">
        <v>1</v>
      </c>
      <c r="F28" s="50">
        <v>1</v>
      </c>
    </row>
    <row r="29" spans="1:27" ht="16.5" thickBot="1" x14ac:dyDescent="0.25">
      <c r="A29" s="49" t="s">
        <v>89</v>
      </c>
      <c r="B29" s="50">
        <v>3</v>
      </c>
      <c r="C29" s="51">
        <v>0</v>
      </c>
      <c r="D29" s="50">
        <v>6</v>
      </c>
      <c r="E29" s="51">
        <v>4</v>
      </c>
      <c r="F29" s="50">
        <v>3</v>
      </c>
    </row>
    <row r="30" spans="1:27" ht="16.5" thickBot="1" x14ac:dyDescent="0.25">
      <c r="A30" s="49" t="s">
        <v>90</v>
      </c>
      <c r="B30" s="50">
        <v>1</v>
      </c>
      <c r="C30" s="51">
        <v>3</v>
      </c>
      <c r="D30" s="50">
        <v>0</v>
      </c>
      <c r="E30" s="51">
        <v>4</v>
      </c>
      <c r="F30" s="50">
        <v>3</v>
      </c>
    </row>
    <row r="31" spans="1:27" ht="16.5" thickBot="1" x14ac:dyDescent="0.25">
      <c r="A31" s="49" t="s">
        <v>91</v>
      </c>
      <c r="B31" s="50">
        <v>6</v>
      </c>
      <c r="C31" s="51">
        <v>5</v>
      </c>
      <c r="D31" s="50">
        <v>1</v>
      </c>
      <c r="E31" s="51">
        <v>0</v>
      </c>
      <c r="F31" s="50">
        <v>5</v>
      </c>
    </row>
    <row r="32" spans="1:27" ht="16.5" thickBot="1" x14ac:dyDescent="0.25">
      <c r="A32" s="49" t="s">
        <v>92</v>
      </c>
      <c r="B32" s="50">
        <v>3</v>
      </c>
      <c r="C32" s="51">
        <v>2</v>
      </c>
      <c r="D32" s="50">
        <v>1</v>
      </c>
      <c r="E32" s="51">
        <v>4</v>
      </c>
      <c r="F32" s="50">
        <v>0</v>
      </c>
    </row>
    <row r="33" spans="1:6" x14ac:dyDescent="0.2">
      <c r="A33"/>
      <c r="B33"/>
      <c r="C33"/>
      <c r="D33"/>
      <c r="E33"/>
      <c r="F33"/>
    </row>
    <row r="34" spans="1:6" ht="13.5" thickBot="1" x14ac:dyDescent="0.25">
      <c r="A34"/>
      <c r="B34"/>
      <c r="C34"/>
      <c r="D34"/>
      <c r="E34"/>
      <c r="F34"/>
    </row>
    <row r="35" spans="1:6" ht="16.5" thickBot="1" x14ac:dyDescent="0.25">
      <c r="A35" s="46" t="s">
        <v>94</v>
      </c>
      <c r="B35" s="47" t="s">
        <v>88</v>
      </c>
      <c r="C35" s="48" t="s">
        <v>89</v>
      </c>
      <c r="D35" s="47" t="s">
        <v>90</v>
      </c>
      <c r="E35" s="48" t="s">
        <v>91</v>
      </c>
      <c r="F35" s="47" t="s">
        <v>92</v>
      </c>
    </row>
    <row r="36" spans="1:6" ht="16.5" thickBot="1" x14ac:dyDescent="0.25">
      <c r="A36" s="49" t="s">
        <v>88</v>
      </c>
      <c r="B36" s="50">
        <v>0</v>
      </c>
      <c r="C36" s="51">
        <v>1</v>
      </c>
      <c r="D36" s="50">
        <v>2</v>
      </c>
      <c r="E36" s="51">
        <v>1</v>
      </c>
      <c r="F36" s="50">
        <v>1</v>
      </c>
    </row>
    <row r="37" spans="1:6" ht="16.5" thickBot="1" x14ac:dyDescent="0.25">
      <c r="A37" s="49" t="s">
        <v>89</v>
      </c>
      <c r="B37" s="50">
        <v>3</v>
      </c>
      <c r="C37" s="51">
        <v>0</v>
      </c>
      <c r="D37" s="50">
        <v>6</v>
      </c>
      <c r="E37" s="51">
        <v>4</v>
      </c>
      <c r="F37" s="50">
        <v>3</v>
      </c>
    </row>
    <row r="38" spans="1:6" ht="16.5" thickBot="1" x14ac:dyDescent="0.25">
      <c r="A38" s="49" t="s">
        <v>90</v>
      </c>
      <c r="B38" s="50">
        <v>1</v>
      </c>
      <c r="C38" s="51">
        <v>3</v>
      </c>
      <c r="D38" s="50">
        <v>0</v>
      </c>
      <c r="E38" s="51">
        <v>4</v>
      </c>
      <c r="F38" s="50">
        <v>3</v>
      </c>
    </row>
    <row r="39" spans="1:6" ht="16.5" thickBot="1" x14ac:dyDescent="0.25">
      <c r="A39" s="49" t="s">
        <v>91</v>
      </c>
      <c r="B39" s="50">
        <v>6</v>
      </c>
      <c r="C39" s="51">
        <v>5</v>
      </c>
      <c r="D39" s="50">
        <v>1</v>
      </c>
      <c r="E39" s="51">
        <v>0</v>
      </c>
      <c r="F39" s="50">
        <v>5</v>
      </c>
    </row>
    <row r="40" spans="1:6" ht="16.5" thickBot="1" x14ac:dyDescent="0.25">
      <c r="A40" s="49" t="s">
        <v>92</v>
      </c>
      <c r="B40" s="50">
        <v>3</v>
      </c>
      <c r="C40" s="51">
        <v>2</v>
      </c>
      <c r="D40" s="50">
        <v>1</v>
      </c>
      <c r="E40" s="51">
        <v>4</v>
      </c>
      <c r="F40" s="50">
        <v>0</v>
      </c>
    </row>
  </sheetData>
  <scenarios current="0">
    <scenario name="Standard setup; order=1-25" locked="1" count="5" user="Jim Davern" comment="Created by Jim Davern on 10/13/93">
      <inputCells r="H10" val="1"/>
      <inputCells r="H11" val="2"/>
      <inputCells r="H12" val="3"/>
      <inputCells r="H13" val="4"/>
      <inputCells r="H14" val="5"/>
    </scenario>
    <scenario name="Cmax-366, pop=150,mu=.3" locked="1" count="5" user="Jim Davern" comment="Created by Jim Davern on 10/13/93">
      <inputCells r="H10" val="2"/>
      <inputCells r="H11" val="25"/>
      <inputCells r="H12" val="6"/>
      <inputCells r="H13" val="13"/>
      <inputCells r="H14" val="11"/>
    </scenario>
  </scenarios>
  <dataConsolidate/>
  <mergeCells count="5">
    <mergeCell ref="Q8:R8"/>
    <mergeCell ref="B8:D8"/>
    <mergeCell ref="O8:P8"/>
    <mergeCell ref="M8:N8"/>
    <mergeCell ref="M7:R7"/>
  </mergeCells>
  <phoneticPr fontId="7" type="noConversion"/>
  <printOptions horizontalCentered="1" verticalCentered="1" gridLinesSet="0"/>
  <pageMargins left="0.11811023622047245" right="0.11811023622047245" top="0.11811023622047245" bottom="0.11811023622047245" header="0.51181102362204722" footer="0.51181102362204722"/>
  <pageSetup scale="69" fitToWidth="2" pageOrder="overThenDown" orientation="landscape" horizontalDpi="120" verticalDpi="4294967292" r:id="rId1"/>
  <headerFooter alignWithMargins="0">
    <oddHeader>&amp;F</oddHeader>
    <oddFooter>&amp;L&amp;D &amp;T&amp;CPage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97" r:id="rId4" name="Button 7625">
              <controlPr defaultSize="0" print="0" autoFill="0" autoPict="0" macro="[0]!RandomizeOrder">
                <anchor moveWithCells="1" sizeWithCells="1">
                  <from>
                    <xdr:col>17</xdr:col>
                    <xdr:colOff>0</xdr:colOff>
                    <xdr:row>1</xdr:row>
                    <xdr:rowOff>1743075</xdr:rowOff>
                  </from>
                  <to>
                    <xdr:col>18</xdr:col>
                    <xdr:colOff>180975</xdr:colOff>
                    <xdr:row>1</xdr:row>
                    <xdr:rowOff>2238375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8" r:id="rId5" name="Button 7626">
              <controlPr defaultSize="0" print="0" autoFill="0" autoPict="0" macro="[0]!DrawSchedule">
                <anchor moveWithCells="1" sizeWithCells="1">
                  <from>
                    <xdr:col>17</xdr:col>
                    <xdr:colOff>0</xdr:colOff>
                    <xdr:row>2</xdr:row>
                    <xdr:rowOff>9525</xdr:rowOff>
                  </from>
                  <to>
                    <xdr:col>18</xdr:col>
                    <xdr:colOff>190500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b73af12-70a3-4eb3-9c02-d9a82a6563a1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492EF191537024F8566B1314844C45E" ma:contentTypeVersion="14" ma:contentTypeDescription="Crear nuevo documento." ma:contentTypeScope="" ma:versionID="3d452d08f3927cf621381d2ddc7e57ae">
  <xsd:schema xmlns:xsd="http://www.w3.org/2001/XMLSchema" xmlns:xs="http://www.w3.org/2001/XMLSchema" xmlns:p="http://schemas.microsoft.com/office/2006/metadata/properties" xmlns:ns3="2b73af12-70a3-4eb3-9c02-d9a82a6563a1" xmlns:ns4="5a621197-2d45-4bf0-b4cf-cc026d1dc231" targetNamespace="http://schemas.microsoft.com/office/2006/metadata/properties" ma:root="true" ma:fieldsID="102e62f87c39071070da2bff646fbd20" ns3:_="" ns4:_="">
    <xsd:import namespace="2b73af12-70a3-4eb3-9c02-d9a82a6563a1"/>
    <xsd:import namespace="5a621197-2d45-4bf0-b4cf-cc026d1dc23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SearchProperties" minOccurs="0"/>
                <xsd:element ref="ns3:_activity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73af12-70a3-4eb3-9c02-d9a82a6563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0" nillable="true" ma:displayName="_activity" ma:hidden="true" ma:internalName="_activity">
      <xsd:simpleType>
        <xsd:restriction base="dms:Note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621197-2d45-4bf0-b4cf-cc026d1dc23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0C6BF75-43BF-4201-AA8D-E58124F0475A}">
  <ds:schemaRefs>
    <ds:schemaRef ds:uri="http://schemas.openxmlformats.org/package/2006/metadata/core-properties"/>
    <ds:schemaRef ds:uri="http://purl.org/dc/dcmitype/"/>
    <ds:schemaRef ds:uri="http://purl.org/dc/elements/1.1/"/>
    <ds:schemaRef ds:uri="5a621197-2d45-4bf0-b4cf-cc026d1dc231"/>
    <ds:schemaRef ds:uri="http://www.w3.org/XML/1998/namespace"/>
    <ds:schemaRef ds:uri="http://purl.org/dc/terms/"/>
    <ds:schemaRef ds:uri="2b73af12-70a3-4eb3-9c02-d9a82a6563a1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0C44692-21A7-42AA-B60E-D610201A54F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44C0883-4D8D-4678-8195-6294CB2B49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b73af12-70a3-4eb3-9c02-d9a82a6563a1"/>
    <ds:schemaRef ds:uri="5a621197-2d45-4bf0-b4cf-cc026d1dc23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10</vt:i4>
      </vt:variant>
    </vt:vector>
  </HeadingPairs>
  <TitlesOfParts>
    <vt:vector size="11" baseType="lpstr">
      <vt:lpstr>Job Schedule</vt:lpstr>
      <vt:lpstr>completion</vt:lpstr>
      <vt:lpstr>job_data</vt:lpstr>
      <vt:lpstr>M1_Sijk</vt:lpstr>
      <vt:lpstr>M2_Sijk</vt:lpstr>
      <vt:lpstr>M3_Sijk</vt:lpstr>
      <vt:lpstr>Mach_Assign</vt:lpstr>
      <vt:lpstr>machine_data</vt:lpstr>
      <vt:lpstr>processing_times</vt:lpstr>
      <vt:lpstr>start</vt:lpstr>
      <vt:lpstr>TaskOrder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Rubén Ruiz García</dc:creator>
  <cp:lastModifiedBy>LUIS ALBERTO ÁLVAREZ ZAVALETA</cp:lastModifiedBy>
  <cp:lastPrinted>2001-09-12T09:26:46Z</cp:lastPrinted>
  <dcterms:created xsi:type="dcterms:W3CDTF">1998-01-14T21:35:55Z</dcterms:created>
  <dcterms:modified xsi:type="dcterms:W3CDTF">2023-12-22T20:20:29Z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partamento">
    <vt:lpwstr>Estadística e Investigación Operativa</vt:lpwstr>
  </property>
  <property fmtid="{D5CDD505-2E9C-101B-9397-08002B2CF9AE}" pid="3" name="ContentTypeId">
    <vt:lpwstr>0x0101000492EF191537024F8566B1314844C45E</vt:lpwstr>
  </property>
</Properties>
</file>